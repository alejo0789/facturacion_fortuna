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C:\Users\alejandro.carvajal\Documents\langextract_ocr\backend\Template_consolidado\"/>
    </mc:Choice>
  </mc:AlternateContent>
  <xr:revisionPtr revIDLastSave="0" documentId="13_ncr:1_{6C8995C3-673D-4B7C-A0BC-3C84E05C17B0}" xr6:coauthVersionLast="47" xr6:coauthVersionMax="47" xr10:uidLastSave="{00000000-0000-0000-0000-000000000000}"/>
  <bookViews>
    <workbookView xWindow="28680" yWindow="-120" windowWidth="29040" windowHeight="15720" firstSheet="1" activeTab="1" xr2:uid="{BA9E9D82-5C46-42EE-977E-A9764CAF3303}"/>
  </bookViews>
  <sheets>
    <sheet name="FO-GFI-03 " sheetId="1" state="hidden" r:id="rId1"/>
    <sheet name="consolidado" sheetId="8" r:id="rId2"/>
    <sheet name="info" sheetId="9" r:id="rId3"/>
    <sheet name="REVISAR" sheetId="7" state="hidden" r:id="rId4"/>
  </sheets>
  <externalReferences>
    <externalReference r:id="rId5"/>
  </externalReferences>
  <definedNames>
    <definedName name="_xlnm._FilterDatabase" localSheetId="0" hidden="1">'FO-GFI-03 '!$A$6:$AMJ$54</definedName>
    <definedName name="_xlnm._FilterDatabase" localSheetId="3" hidden="1">REVISAR!$A$6:$AMJ$62</definedName>
    <definedName name="_pto2">#REF!</definedName>
    <definedName name="_xlnm.Print_Area" localSheetId="0">'FO-GFI-03 '!$A$1:$S$62</definedName>
    <definedName name="_xlnm.Print_Area" localSheetId="3">REVISAR!$A$1:$S$94</definedName>
    <definedName name="CAPACITACION_A_PERSONAL">#REF!</definedName>
    <definedName name="concepto_gasto">#REF!</definedName>
    <definedName name="Conceptos">#REF!</definedName>
    <definedName name="conceptos_gastos">#REF!</definedName>
    <definedName name="pto">#REF!</definedName>
    <definedName name="puntodeventa">#REF!</definedName>
    <definedName name="puntosdeventa">#REF!</definedName>
    <definedName name="puntosventa">#REF!</definedName>
    <definedName name="puntoventa">#REF!</definedName>
    <definedName name="_xlnm.Print_Titles" localSheetId="0">'FO-GFI-03 '!$1:$6</definedName>
    <definedName name="_xlnm.Print_Titles" localSheetId="3">REVISAR!$1:$6</definedName>
    <definedName name="venta">#REF!</definedName>
    <definedName name="venta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9" i="8" l="1"/>
  <c r="B9" i="8"/>
  <c r="C9" i="8"/>
  <c r="D9" i="8"/>
  <c r="E9" i="8"/>
  <c r="F9" i="8"/>
  <c r="J9" i="8"/>
  <c r="K9" i="8"/>
  <c r="A10" i="8"/>
  <c r="B10" i="8"/>
  <c r="C10" i="8"/>
  <c r="D10" i="8"/>
  <c r="E10" i="8"/>
  <c r="F10" i="8"/>
  <c r="J10" i="8"/>
  <c r="K10" i="8"/>
  <c r="A11" i="8"/>
  <c r="B11" i="8"/>
  <c r="C11" i="8"/>
  <c r="D11" i="8"/>
  <c r="E11" i="8"/>
  <c r="F11" i="8"/>
  <c r="J11" i="8"/>
  <c r="K11" i="8"/>
  <c r="A12" i="8"/>
  <c r="B12" i="8"/>
  <c r="C12" i="8"/>
  <c r="D12" i="8"/>
  <c r="E12" i="8"/>
  <c r="F12" i="8"/>
  <c r="J12" i="8"/>
  <c r="K12" i="8"/>
  <c r="A13" i="8"/>
  <c r="B13" i="8"/>
  <c r="C13" i="8"/>
  <c r="D13" i="8"/>
  <c r="E13" i="8"/>
  <c r="F13" i="8"/>
  <c r="J13" i="8"/>
  <c r="K13" i="8"/>
  <c r="A14" i="8"/>
  <c r="B14" i="8"/>
  <c r="C14" i="8"/>
  <c r="D14" i="8"/>
  <c r="E14" i="8"/>
  <c r="F14" i="8"/>
  <c r="J14" i="8"/>
  <c r="K14" i="8"/>
  <c r="A15" i="8"/>
  <c r="B15" i="8"/>
  <c r="C15" i="8"/>
  <c r="D15" i="8"/>
  <c r="E15" i="8"/>
  <c r="F15" i="8"/>
  <c r="J15" i="8"/>
  <c r="K15" i="8"/>
  <c r="A16" i="8"/>
  <c r="B16" i="8"/>
  <c r="C16" i="8"/>
  <c r="D16" i="8"/>
  <c r="E16" i="8"/>
  <c r="F16" i="8"/>
  <c r="J16" i="8"/>
  <c r="K16" i="8"/>
  <c r="A17" i="8"/>
  <c r="B17" i="8"/>
  <c r="C17" i="8"/>
  <c r="D17" i="8"/>
  <c r="E17" i="8"/>
  <c r="F17" i="8"/>
  <c r="J17" i="8"/>
  <c r="K17" i="8"/>
  <c r="B18" i="8"/>
  <c r="C18" i="8"/>
  <c r="D18" i="8"/>
  <c r="E18" i="8"/>
  <c r="F18" i="8"/>
  <c r="J18" i="8"/>
  <c r="K18" i="8"/>
  <c r="B19" i="8"/>
  <c r="C19" i="8"/>
  <c r="D19" i="8"/>
  <c r="E19" i="8"/>
  <c r="F19" i="8"/>
  <c r="J19" i="8"/>
  <c r="K19" i="8"/>
  <c r="B20" i="8"/>
  <c r="C20" i="8"/>
  <c r="D20" i="8"/>
  <c r="E20" i="8"/>
  <c r="F20" i="8"/>
  <c r="J20" i="8"/>
  <c r="K20" i="8"/>
  <c r="B21" i="8"/>
  <c r="C21" i="8"/>
  <c r="D21" i="8"/>
  <c r="E21" i="8"/>
  <c r="F21" i="8"/>
  <c r="J21" i="8"/>
  <c r="K21" i="8"/>
  <c r="B22" i="8"/>
  <c r="C22" i="8"/>
  <c r="D22" i="8"/>
  <c r="E22" i="8"/>
  <c r="F22" i="8"/>
  <c r="J22" i="8"/>
  <c r="K22" i="8"/>
  <c r="B23" i="8"/>
  <c r="C23" i="8"/>
  <c r="D23" i="8"/>
  <c r="E23" i="8"/>
  <c r="F23" i="8"/>
  <c r="J23" i="8"/>
  <c r="K23" i="8"/>
  <c r="B24" i="8"/>
  <c r="C24" i="8"/>
  <c r="D24" i="8"/>
  <c r="E24" i="8"/>
  <c r="F24" i="8"/>
  <c r="J24" i="8"/>
  <c r="K24" i="8"/>
  <c r="B25" i="8"/>
  <c r="C25" i="8"/>
  <c r="D25" i="8"/>
  <c r="E25" i="8"/>
  <c r="F25" i="8"/>
  <c r="J25" i="8"/>
  <c r="K25" i="8"/>
  <c r="B26" i="8"/>
  <c r="C26" i="8"/>
  <c r="D26" i="8"/>
  <c r="E26" i="8"/>
  <c r="F26" i="8"/>
  <c r="J26" i="8"/>
  <c r="K26" i="8"/>
  <c r="B27" i="8"/>
  <c r="C27" i="8"/>
  <c r="D27" i="8"/>
  <c r="E27" i="8"/>
  <c r="F27" i="8"/>
  <c r="J27" i="8"/>
  <c r="K27" i="8"/>
  <c r="B28" i="8"/>
  <c r="C28" i="8"/>
  <c r="D28" i="8"/>
  <c r="E28" i="8"/>
  <c r="F28" i="8"/>
  <c r="J28" i="8"/>
  <c r="K28" i="8"/>
  <c r="B29" i="8"/>
  <c r="C29" i="8"/>
  <c r="D29" i="8"/>
  <c r="E29" i="8"/>
  <c r="F29" i="8"/>
  <c r="J29" i="8"/>
  <c r="K29" i="8"/>
  <c r="B30" i="8"/>
  <c r="C30" i="8"/>
  <c r="D30" i="8"/>
  <c r="E30" i="8"/>
  <c r="F30" i="8"/>
  <c r="J30" i="8"/>
  <c r="K30" i="8"/>
  <c r="B31" i="8"/>
  <c r="C31" i="8"/>
  <c r="D31" i="8"/>
  <c r="E31" i="8"/>
  <c r="F31" i="8"/>
  <c r="J31" i="8"/>
  <c r="K31" i="8"/>
  <c r="B32" i="8"/>
  <c r="C32" i="8"/>
  <c r="D32" i="8"/>
  <c r="E32" i="8"/>
  <c r="F32" i="8"/>
  <c r="J32" i="8"/>
  <c r="K32" i="8"/>
  <c r="B33" i="8"/>
  <c r="C33" i="8"/>
  <c r="D33" i="8"/>
  <c r="E33" i="8"/>
  <c r="F33" i="8"/>
  <c r="J33" i="8"/>
  <c r="K33" i="8"/>
  <c r="B34" i="8"/>
  <c r="C34" i="8"/>
  <c r="D34" i="8"/>
  <c r="E34" i="8"/>
  <c r="F34" i="8"/>
  <c r="J34" i="8"/>
  <c r="K34" i="8"/>
  <c r="B35" i="8"/>
  <c r="C35" i="8"/>
  <c r="D35" i="8"/>
  <c r="E35" i="8"/>
  <c r="F35" i="8"/>
  <c r="J35" i="8"/>
  <c r="K35" i="8"/>
  <c r="B36" i="8"/>
  <c r="C36" i="8"/>
  <c r="D36" i="8"/>
  <c r="E36" i="8"/>
  <c r="F36" i="8"/>
  <c r="J36" i="8"/>
  <c r="K36" i="8"/>
  <c r="B37" i="8"/>
  <c r="C37" i="8"/>
  <c r="D37" i="8"/>
  <c r="E37" i="8"/>
  <c r="F37" i="8"/>
  <c r="J37" i="8"/>
  <c r="K37" i="8"/>
  <c r="B38" i="8"/>
  <c r="C38" i="8"/>
  <c r="D38" i="8"/>
  <c r="E38" i="8"/>
  <c r="F38" i="8"/>
  <c r="J38" i="8"/>
  <c r="K38" i="8"/>
  <c r="B39" i="8"/>
  <c r="C39" i="8"/>
  <c r="D39" i="8"/>
  <c r="E39" i="8"/>
  <c r="F39" i="8"/>
  <c r="J39" i="8"/>
  <c r="K39" i="8"/>
  <c r="B40" i="8"/>
  <c r="C40" i="8"/>
  <c r="D40" i="8"/>
  <c r="E40" i="8"/>
  <c r="F40" i="8"/>
  <c r="J40" i="8"/>
  <c r="K40" i="8"/>
  <c r="B41" i="8"/>
  <c r="C41" i="8"/>
  <c r="D41" i="8"/>
  <c r="E41" i="8"/>
  <c r="F41" i="8"/>
  <c r="J41" i="8"/>
  <c r="K41" i="8"/>
  <c r="B42" i="8"/>
  <c r="C42" i="8"/>
  <c r="D42" i="8"/>
  <c r="E42" i="8"/>
  <c r="F42" i="8"/>
  <c r="J42" i="8"/>
  <c r="K42" i="8"/>
  <c r="B43" i="8"/>
  <c r="C43" i="8"/>
  <c r="D43" i="8"/>
  <c r="E43" i="8"/>
  <c r="F43" i="8"/>
  <c r="J43" i="8"/>
  <c r="K43" i="8"/>
  <c r="B44" i="8"/>
  <c r="C44" i="8"/>
  <c r="D44" i="8"/>
  <c r="E44" i="8"/>
  <c r="F44" i="8"/>
  <c r="J44" i="8"/>
  <c r="K44" i="8"/>
  <c r="B45" i="8"/>
  <c r="C45" i="8"/>
  <c r="D45" i="8"/>
  <c r="E45" i="8"/>
  <c r="F45" i="8"/>
  <c r="J45" i="8"/>
  <c r="K45" i="8"/>
  <c r="B46" i="8"/>
  <c r="C46" i="8"/>
  <c r="D46" i="8"/>
  <c r="E46" i="8"/>
  <c r="F46" i="8"/>
  <c r="J46" i="8"/>
  <c r="K46" i="8"/>
  <c r="B47" i="8"/>
  <c r="C47" i="8"/>
  <c r="D47" i="8"/>
  <c r="E47" i="8"/>
  <c r="F47" i="8"/>
  <c r="J47" i="8"/>
  <c r="K47" i="8"/>
  <c r="B48" i="8"/>
  <c r="C48" i="8"/>
  <c r="D48" i="8"/>
  <c r="E48" i="8"/>
  <c r="F48" i="8"/>
  <c r="J48" i="8"/>
  <c r="K48" i="8"/>
  <c r="B49" i="8"/>
  <c r="C49" i="8"/>
  <c r="D49" i="8"/>
  <c r="E49" i="8"/>
  <c r="F49" i="8"/>
  <c r="J49" i="8"/>
  <c r="K49" i="8"/>
  <c r="B50" i="8"/>
  <c r="C50" i="8"/>
  <c r="D50" i="8"/>
  <c r="E50" i="8"/>
  <c r="F50" i="8"/>
  <c r="J50" i="8"/>
  <c r="K50" i="8"/>
  <c r="B51" i="8"/>
  <c r="C51" i="8"/>
  <c r="D51" i="8"/>
  <c r="E51" i="8"/>
  <c r="F51" i="8"/>
  <c r="J51" i="8"/>
  <c r="K51" i="8"/>
  <c r="B52" i="8"/>
  <c r="C52" i="8"/>
  <c r="D52" i="8"/>
  <c r="E52" i="8"/>
  <c r="F52" i="8"/>
  <c r="J52" i="8"/>
  <c r="K52" i="8"/>
  <c r="B53" i="8"/>
  <c r="C53" i="8"/>
  <c r="D53" i="8"/>
  <c r="E53" i="8"/>
  <c r="F53" i="8"/>
  <c r="J53" i="8"/>
  <c r="K53" i="8"/>
  <c r="B54" i="8"/>
  <c r="C54" i="8"/>
  <c r="D54" i="8"/>
  <c r="E54" i="8"/>
  <c r="F54" i="8"/>
  <c r="J54" i="8"/>
  <c r="K54" i="8"/>
  <c r="B55" i="8"/>
  <c r="C55" i="8"/>
  <c r="D55" i="8"/>
  <c r="E55" i="8"/>
  <c r="F55" i="8"/>
  <c r="J55" i="8"/>
  <c r="K55" i="8"/>
  <c r="B56" i="8"/>
  <c r="C56" i="8"/>
  <c r="D56" i="8"/>
  <c r="E56" i="8"/>
  <c r="F56" i="8"/>
  <c r="J56" i="8"/>
  <c r="K56" i="8"/>
  <c r="B57" i="8"/>
  <c r="C57" i="8"/>
  <c r="D57" i="8"/>
  <c r="E57" i="8"/>
  <c r="F57" i="8"/>
  <c r="J57" i="8"/>
  <c r="K57" i="8"/>
  <c r="B58" i="8"/>
  <c r="C58" i="8"/>
  <c r="D58" i="8"/>
  <c r="E58" i="8"/>
  <c r="F58" i="8"/>
  <c r="J58" i="8"/>
  <c r="K58" i="8"/>
  <c r="B59" i="8"/>
  <c r="C59" i="8"/>
  <c r="D59" i="8"/>
  <c r="E59" i="8"/>
  <c r="F59" i="8"/>
  <c r="J59" i="8"/>
  <c r="K59" i="8"/>
  <c r="B60" i="8"/>
  <c r="C60" i="8"/>
  <c r="D60" i="8"/>
  <c r="E60" i="8"/>
  <c r="F60" i="8"/>
  <c r="J60" i="8"/>
  <c r="K60" i="8"/>
  <c r="B61" i="8"/>
  <c r="C61" i="8"/>
  <c r="D61" i="8"/>
  <c r="E61" i="8"/>
  <c r="F61" i="8"/>
  <c r="J61" i="8"/>
  <c r="K61" i="8"/>
  <c r="B62" i="8"/>
  <c r="C62" i="8"/>
  <c r="D62" i="8"/>
  <c r="E62" i="8"/>
  <c r="F62" i="8"/>
  <c r="J62" i="8"/>
  <c r="K62" i="8"/>
  <c r="B63" i="8"/>
  <c r="C63" i="8"/>
  <c r="D63" i="8"/>
  <c r="E63" i="8"/>
  <c r="F63" i="8"/>
  <c r="J63" i="8"/>
  <c r="K63" i="8"/>
  <c r="B64" i="8"/>
  <c r="C64" i="8"/>
  <c r="D64" i="8"/>
  <c r="E64" i="8"/>
  <c r="F64" i="8"/>
  <c r="J64" i="8"/>
  <c r="K64" i="8"/>
  <c r="B65" i="8"/>
  <c r="C65" i="8"/>
  <c r="D65" i="8"/>
  <c r="E65" i="8"/>
  <c r="F65" i="8"/>
  <c r="J65" i="8"/>
  <c r="K65" i="8"/>
  <c r="B66" i="8"/>
  <c r="C66" i="8"/>
  <c r="D66" i="8"/>
  <c r="E66" i="8"/>
  <c r="F66" i="8"/>
  <c r="J66" i="8"/>
  <c r="K66" i="8"/>
  <c r="B67" i="8"/>
  <c r="C67" i="8"/>
  <c r="D67" i="8"/>
  <c r="E67" i="8"/>
  <c r="F67" i="8"/>
  <c r="J67" i="8"/>
  <c r="K67" i="8"/>
  <c r="B68" i="8"/>
  <c r="C68" i="8"/>
  <c r="D68" i="8"/>
  <c r="E68" i="8"/>
  <c r="F68" i="8"/>
  <c r="J68" i="8"/>
  <c r="K68" i="8"/>
  <c r="B69" i="8"/>
  <c r="C69" i="8"/>
  <c r="D69" i="8"/>
  <c r="E69" i="8"/>
  <c r="F69" i="8"/>
  <c r="J69" i="8"/>
  <c r="K69" i="8"/>
  <c r="B70" i="8"/>
  <c r="C70" i="8"/>
  <c r="D70" i="8"/>
  <c r="E70" i="8"/>
  <c r="F70" i="8"/>
  <c r="J70" i="8"/>
  <c r="K70" i="8"/>
  <c r="B71" i="8"/>
  <c r="C71" i="8"/>
  <c r="D71" i="8"/>
  <c r="E71" i="8"/>
  <c r="F71" i="8"/>
  <c r="J71" i="8"/>
  <c r="K71" i="8"/>
  <c r="B72" i="8"/>
  <c r="C72" i="8"/>
  <c r="D72" i="8"/>
  <c r="E72" i="8"/>
  <c r="F72" i="8"/>
  <c r="J72" i="8"/>
  <c r="K72" i="8"/>
  <c r="B73" i="8"/>
  <c r="C73" i="8"/>
  <c r="D73" i="8"/>
  <c r="E73" i="8"/>
  <c r="F73" i="8"/>
  <c r="J73" i="8"/>
  <c r="K73" i="8"/>
  <c r="B8" i="8"/>
  <c r="K8" i="8"/>
  <c r="J8" i="8"/>
  <c r="F8" i="8"/>
  <c r="E8" i="8"/>
  <c r="D8" i="8"/>
  <c r="C8" i="8"/>
  <c r="A8" i="8"/>
  <c r="B74" i="8" l="1"/>
  <c r="P62" i="7"/>
  <c r="O62" i="7"/>
  <c r="N62" i="7"/>
  <c r="M62" i="7"/>
  <c r="P61" i="7"/>
  <c r="O61" i="7"/>
  <c r="N61" i="7"/>
  <c r="M61" i="7"/>
  <c r="P60" i="7"/>
  <c r="O60" i="7"/>
  <c r="N60" i="7"/>
  <c r="M60" i="7"/>
  <c r="P59" i="7"/>
  <c r="O59" i="7"/>
  <c r="N59" i="7"/>
  <c r="M59" i="7"/>
  <c r="P58" i="7"/>
  <c r="O58" i="7"/>
  <c r="N58" i="7"/>
  <c r="M58" i="7"/>
  <c r="P57" i="7"/>
  <c r="O57" i="7"/>
  <c r="N57" i="7"/>
  <c r="M57" i="7"/>
  <c r="P56" i="7"/>
  <c r="O56" i="7"/>
  <c r="N56" i="7"/>
  <c r="M56" i="7"/>
  <c r="P55" i="7"/>
  <c r="O55" i="7"/>
  <c r="N55" i="7"/>
  <c r="M55" i="7"/>
  <c r="P54" i="7"/>
  <c r="O54" i="7"/>
  <c r="N54" i="7"/>
  <c r="M54" i="7"/>
  <c r="P53" i="7"/>
  <c r="O53" i="7"/>
  <c r="N53" i="7"/>
  <c r="M53" i="7"/>
  <c r="P52" i="7"/>
  <c r="O52" i="7"/>
  <c r="N52" i="7"/>
  <c r="M52" i="7"/>
  <c r="P51" i="7"/>
  <c r="O51" i="7"/>
  <c r="N51" i="7"/>
  <c r="M51" i="7"/>
  <c r="P50" i="7"/>
  <c r="O50" i="7"/>
  <c r="N50" i="7"/>
  <c r="M50" i="7"/>
  <c r="P49" i="7"/>
  <c r="O49" i="7"/>
  <c r="N49" i="7"/>
  <c r="M49" i="7"/>
  <c r="P48" i="7"/>
  <c r="O48" i="7"/>
  <c r="N48" i="7"/>
  <c r="M48" i="7"/>
  <c r="P47" i="7"/>
  <c r="O47" i="7"/>
  <c r="N47" i="7"/>
  <c r="M47" i="7"/>
  <c r="P46" i="7"/>
  <c r="O46" i="7"/>
  <c r="N46" i="7"/>
  <c r="M46" i="7"/>
  <c r="P45" i="7"/>
  <c r="O45" i="7"/>
  <c r="N45" i="7"/>
  <c r="M45" i="7"/>
  <c r="P44" i="7"/>
  <c r="O44" i="7"/>
  <c r="N44" i="7"/>
  <c r="M44" i="7"/>
  <c r="P43" i="7"/>
  <c r="O43" i="7"/>
  <c r="N43" i="7"/>
  <c r="P42" i="7"/>
  <c r="O42" i="7"/>
  <c r="N42" i="7"/>
  <c r="P41" i="7"/>
  <c r="O41" i="7"/>
  <c r="N41" i="7"/>
  <c r="M41" i="7"/>
  <c r="P40" i="7"/>
  <c r="O40" i="7"/>
  <c r="N40" i="7"/>
  <c r="M40" i="7"/>
  <c r="P39" i="7"/>
  <c r="O39" i="7"/>
  <c r="N39" i="7"/>
  <c r="M39" i="7"/>
  <c r="P38" i="7"/>
  <c r="O38" i="7"/>
  <c r="N38" i="7"/>
  <c r="P37" i="7"/>
  <c r="O37" i="7"/>
  <c r="N37" i="7"/>
  <c r="M37" i="7"/>
  <c r="P36" i="7"/>
  <c r="O36" i="7"/>
  <c r="N36" i="7"/>
  <c r="M36" i="7"/>
  <c r="P35" i="7"/>
  <c r="O35" i="7"/>
  <c r="N35" i="7"/>
  <c r="M35" i="7"/>
  <c r="B35" i="7"/>
  <c r="P34" i="7"/>
  <c r="O34" i="7"/>
  <c r="N34" i="7"/>
  <c r="M34" i="7"/>
  <c r="B34" i="7"/>
  <c r="P33" i="7"/>
  <c r="O33" i="7"/>
  <c r="N33" i="7"/>
  <c r="P32" i="7"/>
  <c r="O32" i="7"/>
  <c r="N32" i="7"/>
  <c r="P31" i="7"/>
  <c r="O31" i="7"/>
  <c r="N31" i="7"/>
  <c r="M31" i="7"/>
  <c r="P30" i="7"/>
  <c r="O30" i="7"/>
  <c r="N30" i="7"/>
  <c r="P29" i="7"/>
  <c r="O29" i="7"/>
  <c r="N29" i="7"/>
  <c r="M29" i="7"/>
  <c r="P28" i="7"/>
  <c r="O28" i="7"/>
  <c r="N28" i="7"/>
  <c r="P27" i="7"/>
  <c r="O27" i="7"/>
  <c r="N27" i="7"/>
  <c r="M27" i="7"/>
  <c r="B27" i="7"/>
  <c r="P26" i="7"/>
  <c r="O26" i="7"/>
  <c r="N26" i="7"/>
  <c r="M26" i="7"/>
  <c r="P25" i="7"/>
  <c r="O25" i="7"/>
  <c r="N25" i="7"/>
  <c r="B25" i="7"/>
  <c r="P24" i="7"/>
  <c r="O24" i="7"/>
  <c r="N24" i="7"/>
  <c r="P23" i="7"/>
  <c r="O23" i="7"/>
  <c r="N23" i="7"/>
  <c r="M23" i="7"/>
  <c r="P22" i="7"/>
  <c r="O22" i="7"/>
  <c r="N22" i="7"/>
  <c r="M22" i="7"/>
  <c r="P21" i="7"/>
  <c r="O21" i="7"/>
  <c r="N21" i="7"/>
  <c r="M21" i="7"/>
  <c r="P20" i="7"/>
  <c r="O20" i="7"/>
  <c r="N20" i="7"/>
  <c r="M20" i="7"/>
  <c r="P19" i="7"/>
  <c r="O19" i="7"/>
  <c r="N19" i="7"/>
  <c r="P18" i="7"/>
  <c r="O18" i="7"/>
  <c r="N18" i="7"/>
  <c r="B18" i="7"/>
  <c r="P17" i="7"/>
  <c r="O17" i="7"/>
  <c r="N17" i="7"/>
  <c r="P16" i="7"/>
  <c r="O16" i="7"/>
  <c r="N16" i="7"/>
  <c r="M16" i="7"/>
  <c r="P15" i="7"/>
  <c r="O15" i="7"/>
  <c r="N15" i="7"/>
  <c r="B15" i="7"/>
  <c r="P14" i="7"/>
  <c r="O14" i="7"/>
  <c r="N14" i="7"/>
  <c r="P13" i="7"/>
  <c r="O13" i="7"/>
  <c r="N13" i="7"/>
  <c r="P12" i="7"/>
  <c r="O12" i="7"/>
  <c r="N12" i="7"/>
  <c r="B12" i="7"/>
  <c r="P11" i="7"/>
  <c r="O11" i="7"/>
  <c r="N11" i="7"/>
  <c r="P10" i="7"/>
  <c r="O10" i="7"/>
  <c r="N10" i="7"/>
  <c r="B10" i="7"/>
  <c r="P9" i="7"/>
  <c r="O9" i="7"/>
  <c r="N9" i="7"/>
  <c r="P8" i="7"/>
  <c r="O8" i="7"/>
  <c r="N8" i="7"/>
  <c r="P7" i="7"/>
  <c r="O7" i="7"/>
  <c r="N7" i="7"/>
  <c r="B7" i="7"/>
  <c r="B64" i="7" l="1"/>
  <c r="M52" i="1" l="1"/>
  <c r="N52" i="1"/>
  <c r="O52" i="1"/>
  <c r="P52" i="1"/>
  <c r="B51" i="1"/>
  <c r="B50" i="1"/>
  <c r="B48" i="1"/>
  <c r="B46" i="1"/>
  <c r="B38" i="1"/>
  <c r="M34" i="1"/>
  <c r="N34" i="1"/>
  <c r="O34" i="1"/>
  <c r="P34" i="1"/>
  <c r="M35" i="1"/>
  <c r="N35" i="1"/>
  <c r="O35" i="1"/>
  <c r="P35" i="1"/>
  <c r="N51" i="1" l="1"/>
  <c r="O51" i="1"/>
  <c r="P51" i="1"/>
  <c r="B37" i="1"/>
  <c r="B44" i="1" l="1"/>
  <c r="B41" i="1"/>
  <c r="N33" i="1"/>
  <c r="O33" i="1"/>
  <c r="P33" i="1"/>
  <c r="B26" i="1"/>
  <c r="N25" i="1"/>
  <c r="O25" i="1"/>
  <c r="P25" i="1"/>
  <c r="B25" i="1"/>
  <c r="B16" i="1"/>
  <c r="B12" i="1" l="1"/>
  <c r="B7" i="1"/>
  <c r="M14" i="1"/>
  <c r="N14" i="1"/>
  <c r="O14" i="1"/>
  <c r="P14" i="1"/>
  <c r="P26" i="1"/>
  <c r="O26" i="1"/>
  <c r="N26" i="1"/>
  <c r="M26" i="1"/>
  <c r="N22" i="1" l="1"/>
  <c r="O22" i="1"/>
  <c r="P22" i="1"/>
  <c r="N28" i="1" l="1"/>
  <c r="O28" i="1"/>
  <c r="P28" i="1"/>
  <c r="N7" i="1" l="1"/>
  <c r="O7" i="1"/>
  <c r="P7" i="1"/>
  <c r="N8" i="1"/>
  <c r="O8" i="1"/>
  <c r="P8" i="1"/>
  <c r="N9" i="1"/>
  <c r="O9" i="1"/>
  <c r="P9" i="1"/>
  <c r="N10" i="1"/>
  <c r="O10" i="1"/>
  <c r="P10" i="1"/>
  <c r="M11" i="1"/>
  <c r="N11" i="1"/>
  <c r="O11" i="1"/>
  <c r="P11" i="1"/>
  <c r="N12" i="1"/>
  <c r="O12" i="1"/>
  <c r="P12" i="1"/>
  <c r="M13" i="1"/>
  <c r="N13" i="1"/>
  <c r="O13" i="1"/>
  <c r="P13" i="1"/>
  <c r="N15" i="1"/>
  <c r="O15" i="1"/>
  <c r="P15" i="1"/>
  <c r="N17" i="1"/>
  <c r="O17" i="1"/>
  <c r="P17" i="1"/>
  <c r="N18" i="1"/>
  <c r="O18" i="1"/>
  <c r="P18" i="1"/>
  <c r="M19" i="1"/>
  <c r="N19" i="1"/>
  <c r="O19" i="1"/>
  <c r="P19" i="1"/>
  <c r="N20" i="1"/>
  <c r="O20" i="1"/>
  <c r="P20" i="1"/>
  <c r="N21" i="1"/>
  <c r="O21" i="1"/>
  <c r="P21" i="1"/>
  <c r="N23" i="1"/>
  <c r="O23" i="1"/>
  <c r="P23" i="1"/>
  <c r="N24" i="1"/>
  <c r="O24" i="1"/>
  <c r="P24" i="1"/>
  <c r="N27" i="1"/>
  <c r="O27" i="1"/>
  <c r="P27" i="1"/>
  <c r="M29" i="1"/>
  <c r="N29" i="1"/>
  <c r="O29" i="1"/>
  <c r="P29" i="1"/>
  <c r="N30" i="1"/>
  <c r="O30" i="1"/>
  <c r="P30" i="1"/>
  <c r="M31" i="1"/>
  <c r="N31" i="1"/>
  <c r="O31" i="1"/>
  <c r="P31" i="1"/>
  <c r="M32" i="1"/>
  <c r="N32" i="1"/>
  <c r="O32" i="1"/>
  <c r="P32" i="1"/>
  <c r="N36" i="1"/>
  <c r="O36" i="1"/>
  <c r="P36" i="1"/>
  <c r="M37" i="1"/>
  <c r="N37" i="1"/>
  <c r="O37" i="1"/>
  <c r="P37" i="1"/>
  <c r="M38" i="1"/>
  <c r="N38" i="1"/>
  <c r="O38" i="1"/>
  <c r="P38" i="1"/>
  <c r="M39" i="1"/>
  <c r="N39" i="1"/>
  <c r="O39" i="1"/>
  <c r="P39" i="1"/>
  <c r="M40" i="1"/>
  <c r="N40" i="1"/>
  <c r="O40" i="1"/>
  <c r="P40" i="1"/>
  <c r="N44" i="1" l="1"/>
  <c r="O44" i="1"/>
  <c r="P44" i="1"/>
  <c r="N45" i="1"/>
  <c r="O45" i="1"/>
  <c r="P45" i="1"/>
  <c r="M46" i="1"/>
  <c r="N46" i="1"/>
  <c r="O46" i="1"/>
  <c r="P46" i="1"/>
  <c r="N47" i="1"/>
  <c r="O47" i="1"/>
  <c r="P47" i="1"/>
  <c r="M48" i="1"/>
  <c r="N48" i="1"/>
  <c r="O48" i="1"/>
  <c r="P48" i="1"/>
  <c r="M49" i="1"/>
  <c r="N49" i="1"/>
  <c r="O49" i="1"/>
  <c r="P49" i="1"/>
  <c r="M50" i="1"/>
  <c r="N50" i="1"/>
  <c r="O50" i="1"/>
  <c r="P50" i="1"/>
  <c r="M41" i="1"/>
  <c r="N41" i="1"/>
  <c r="O41" i="1"/>
  <c r="P41" i="1"/>
  <c r="M42" i="1"/>
  <c r="N42" i="1"/>
  <c r="O42" i="1"/>
  <c r="P42" i="1"/>
  <c r="M43" i="1"/>
  <c r="N43" i="1"/>
  <c r="O43" i="1"/>
  <c r="P43" i="1"/>
  <c r="M53" i="1" l="1"/>
  <c r="N53" i="1"/>
  <c r="O53" i="1"/>
  <c r="P53" i="1"/>
  <c r="B54" i="1" l="1"/>
  <c r="M36" i="1" l="1"/>
  <c r="M17" i="7"/>
  <c r="M24" i="1" l="1"/>
  <c r="M30" i="7" l="1"/>
  <c r="M33" i="1"/>
  <c r="M8" i="1"/>
  <c r="M12" i="1"/>
  <c r="M28" i="7" l="1"/>
  <c r="M51" i="1" l="1"/>
  <c r="M10" i="1" l="1"/>
  <c r="M22" i="1" l="1"/>
  <c r="M18" i="1" l="1"/>
  <c r="M42" i="7"/>
  <c r="M45" i="1"/>
  <c r="M25" i="7"/>
  <c r="M15" i="1"/>
  <c r="M44" i="1" l="1"/>
  <c r="M18" i="7"/>
  <c r="M38" i="7"/>
  <c r="M11" i="7"/>
  <c r="M9" i="7"/>
  <c r="M10" i="7"/>
  <c r="M7" i="7"/>
  <c r="M9" i="1"/>
  <c r="M47" i="1"/>
  <c r="M7" i="1"/>
  <c r="M32" i="7"/>
  <c r="M19" i="7"/>
  <c r="M28" i="1"/>
  <c r="M15" i="7" l="1"/>
  <c r="M33" i="7"/>
  <c r="M20" i="1"/>
  <c r="M23" i="1"/>
  <c r="M43" i="7"/>
  <c r="M17" i="1"/>
  <c r="M24" i="7"/>
  <c r="M8" i="7"/>
  <c r="M14" i="7"/>
  <c r="M13" i="7"/>
  <c r="M12" i="7"/>
  <c r="M27" i="1"/>
  <c r="M25" i="1"/>
  <c r="M30" i="1"/>
  <c r="M21" i="1"/>
</calcChain>
</file>

<file path=xl/sharedStrings.xml><?xml version="1.0" encoding="utf-8"?>
<sst xmlns="http://schemas.openxmlformats.org/spreadsheetml/2006/main" count="355" uniqueCount="272">
  <si>
    <t xml:space="preserve">PROGRAMACIÓN  DE PAGOS </t>
  </si>
  <si>
    <t>SEMANA DE PAGO:</t>
  </si>
  <si>
    <t>TIPO DE PAGO:</t>
  </si>
  <si>
    <t>CONSIGNACIÓN</t>
  </si>
  <si>
    <t>TRANSFERENCIA</t>
  </si>
  <si>
    <t>SEDE ADMINISTRATIVA</t>
  </si>
  <si>
    <t>ITEM</t>
  </si>
  <si>
    <t xml:space="preserve">VALOR NETO A PAGAR </t>
  </si>
  <si>
    <t>No. De CT</t>
  </si>
  <si>
    <t>CT1</t>
  </si>
  <si>
    <t>CT2</t>
  </si>
  <si>
    <t>CT3</t>
  </si>
  <si>
    <t>CT4</t>
  </si>
  <si>
    <t># CASO EN ITOP</t>
  </si>
  <si>
    <t>No. FACTURA Y/O CUENTA DE COBRO</t>
  </si>
  <si>
    <t>CONCEPTO</t>
  </si>
  <si>
    <t xml:space="preserve">OFICINA </t>
  </si>
  <si>
    <t>BENEFICIARIO</t>
  </si>
  <si>
    <t xml:space="preserve">CC/ NIT </t>
  </si>
  <si>
    <t>BANCO</t>
  </si>
  <si>
    <t>TIPO DE CUENTA</t>
  </si>
  <si>
    <t>CUENTA</t>
  </si>
  <si>
    <t>OBSERVACIÓN</t>
  </si>
  <si>
    <t>DCTO CONTABLE</t>
  </si>
  <si>
    <t>Código: FO-GFI-03</t>
  </si>
  <si>
    <t>Versión: 04</t>
  </si>
  <si>
    <t>Fecha: 29-Jul-21</t>
  </si>
  <si>
    <t>EFECTIVO</t>
  </si>
  <si>
    <t>ZONA</t>
  </si>
  <si>
    <t>ELABORA</t>
  </si>
  <si>
    <t>APRUEBA</t>
  </si>
  <si>
    <t>________________________________________</t>
  </si>
  <si>
    <t>Firma</t>
  </si>
  <si>
    <t>PSE</t>
  </si>
  <si>
    <t>PROGRAMACIÓN DE PAGOS DEL 6 OCTUBRE  2023</t>
  </si>
  <si>
    <t>FEWT3039-3038</t>
  </si>
  <si>
    <t>DC01-16901-16900</t>
  </si>
  <si>
    <t>Factura Fewt3039  Tiquete  Viaje Ida Y Regreso Cali-guapi Al Colaborador Miguel Antonio Garcia (promotor Comercial De Timbiqui)- Factura Fewt3038 Tiquetes Ida Y Regreso Bogota - Presidente Ejecutivo Josue Laso Tacha</t>
  </si>
  <si>
    <t>CRG 252220</t>
  </si>
  <si>
    <t>DC01-16855</t>
  </si>
  <si>
    <t>Factura Crg 252220 Suministro  De 45  Lamparas 60x60 Para Adecuaciones Locativas Solictud Area De Mantenimiento</t>
  </si>
  <si>
    <t>FEV 1776</t>
  </si>
  <si>
    <t>DC01-16802</t>
  </si>
  <si>
    <t>Factura Fev 1776 Compra De Nevera Para La Zona De Cafeteria, Oficina San Agustin</t>
  </si>
  <si>
    <t>FEV66</t>
  </si>
  <si>
    <t>DC01-16819</t>
  </si>
  <si>
    <t>Ocgg 001759 Fact Fev66 Jv Publicidad, Pasador De Billetes Bandejas En Acero Inoxidable Para Instalacion En Los Nuevos Puntos En La Zona De Popayan</t>
  </si>
  <si>
    <t>FE1904</t>
  </si>
  <si>
    <t>DC01-16903</t>
  </si>
  <si>
    <t>Factura Fe1904, Suministro De 2 Puestos  De Trabajo Doble Para La Oficina De Alchivo Reubicada En El Pv Vi?edo</t>
  </si>
  <si>
    <t>FVE182-183-184</t>
  </si>
  <si>
    <t>Factura Fve 182 Impresion De Lona Para Backing Mas Instalacion Para Evento Fashion Weekend - Factura Fve 183 Elaboracion De Stand Con Vinilo Laminado Instalado Sobre Mdf Mas Letras En Noen Flez De 2.10x 3 - Factura Fve 184 Suministro De 300 Stikers Raspatodos Para Marcar Pendones En Popayan Solicitada Por El Area De Mercadeo</t>
  </si>
  <si>
    <t>ZC 948</t>
  </si>
  <si>
    <t>DC01-16897</t>
  </si>
  <si>
    <t>Factura Zc 945 Correspondiente A Acuerdo Comercial Pauta Publicitaria Para Aniversario 15 A?os</t>
  </si>
  <si>
    <t>FEVE49</t>
  </si>
  <si>
    <t>DC01-16896</t>
  </si>
  <si>
    <t>Factura Feve49 , Servicio De Parqueadero Para Los Vehiculos Asignados A La Zona Cso. Durante El Mes De Octubre</t>
  </si>
  <si>
    <t>EVP-3000</t>
  </si>
  <si>
    <t>Factura Evp-3000 Serrvicio De Mantenimiento Preventivo De Las Ups Que Se Encuentran En La Oficina Principal De San Agustin</t>
  </si>
  <si>
    <t>QI ENERGY</t>
  </si>
  <si>
    <t>74928-74378</t>
  </si>
  <si>
    <t>DC01-16893-16892</t>
  </si>
  <si>
    <t>Factura74928 Energy Energia Vital, Servicio De Energia Medidor 7038621 Of 303 Mes De Octubre De 2023 - Factura74378 Energy Energia Vital, Servicio De Energia Medidor 7025288 Of 3 Octubre De 2023</t>
  </si>
  <si>
    <t>FPO-9810394</t>
  </si>
  <si>
    <t>DC01-16858</t>
  </si>
  <si>
    <t>Factura Fpo-9810394  Y Fpo-9810391 Liberty Seguros, Pago Polizas Grupo Vida Colectiva</t>
  </si>
  <si>
    <t>FE55896</t>
  </si>
  <si>
    <t>DC01-16814</t>
  </si>
  <si>
    <t>Factura Fe55896 Plan Profesional De Rastreo Satelital Para El Vehiculo De Placa Csq360 Mitsubishi Campero De La Empresa Renovacion Por 12 Meses</t>
  </si>
  <si>
    <t>MONO-59</t>
  </si>
  <si>
    <t>DC01-16414</t>
  </si>
  <si>
    <t>Factura Mono-59  Martin Felipe Arcos Osorio, Grabacion Video Institucional Mos, A Cargo Del Proveedor Mono Marketing</t>
  </si>
  <si>
    <t>DC01-16641</t>
  </si>
  <si>
    <t>Fact 5381559  Arquidiocesis De Cali, Plan Exequial Septiembre 2023</t>
  </si>
  <si>
    <t>FE 1180</t>
  </si>
  <si>
    <t>DC01-16745</t>
  </si>
  <si>
    <t>Factura Fe 1180 Suministros De 3 Cajas Fuertes Especiales, 3   Cerradura Digital, Y 3 Teclados Sargent  Para Distribuicion En Puerto Tejada, Santander Y Popayan</t>
  </si>
  <si>
    <t>E 226</t>
  </si>
  <si>
    <t>Fact E 226 Abogados, Contrato Prestacion De Servicios Profesionales De Abogado Mes De Septiembre/ 2023</t>
  </si>
  <si>
    <t>DC01-16569</t>
  </si>
  <si>
    <t>Factura 05001449918 Caracol, Pauta Radial Tropicana Popayan 106.1 Fm Mes De Septiembre De 2023</t>
  </si>
  <si>
    <t>DC01-16822</t>
  </si>
  <si>
    <t>Factura 1839,  Servicio De Mantenimiento De Aires Acondicionados Oficina Principal</t>
  </si>
  <si>
    <t>QEP20643-20608</t>
  </si>
  <si>
    <t>DC01-16520-16521</t>
  </si>
  <si>
    <t>Factura Qep 20643  Quality Colombia Sa, Por Concepto De Licencia Servidor Manager Erp Administrativa Correspondiente Al Mes De Septiembre  2023 -Factura Qep 20608 Quality, Poliza  Tipo B Correspondiente Al Mes De Septiembre 2023</t>
  </si>
  <si>
    <t>FCE 6025-FE 162645</t>
  </si>
  <si>
    <t>DC01-16639-16638</t>
  </si>
  <si>
    <t>Facturas Fce 6025   Por Concepto De Pruebas De Ingreso Y Evaluacion Medica Post Incapacidad (colaboradora Simplicia Monta?o) - Facturas Fe 162645  Por Concepto De Pruebas De Ingreso Y Egreso Al Personal De La Empresa Segun Relacion Adjunta</t>
  </si>
  <si>
    <t>FE 9232</t>
  </si>
  <si>
    <t>DC01-16646</t>
  </si>
  <si>
    <t>Factura Fe 9232  Data Digital, Alquiler De Impresora Ubicadas En Miranda Y Oficina Ppal De Puerto  Y Tejada Mes Agosto</t>
  </si>
  <si>
    <t>FEV 3768</t>
  </si>
  <si>
    <t>DC01-16820</t>
  </si>
  <si>
    <t>Fact Fev 3768 Compra De Habladores Y Stickers De Baloto Para Publicidad En Puntos De Venta Solicitud Del Area De Mercadeo</t>
  </si>
  <si>
    <t>FDT 15263</t>
  </si>
  <si>
    <t>DC01-16737</t>
  </si>
  <si>
    <t>Ocgg 1705 Factura Fdt 15263 Suministro De 14 Cajas De Rollos Papel Bond 57 X 20</t>
  </si>
  <si>
    <t>FELE 29176</t>
  </si>
  <si>
    <t>DC01-16750</t>
  </si>
  <si>
    <t>Factura Fele 29176  Servicio De Vigilancia Monitoreo De Alarmas Hasta 32 Zonas/ Mes De Septiembre 2023</t>
  </si>
  <si>
    <t>RI30691</t>
  </si>
  <si>
    <t>DC01-16640</t>
  </si>
  <si>
    <t>Factura Mensual Ri30691 Risks, De Acuerdo Al Contrato Adjunto, De La Nueva Plataforma De Riesgos Para La Consulta De Terceros Mes De Septiembre 2023</t>
  </si>
  <si>
    <t>DC01-16648</t>
  </si>
  <si>
    <t>Factura 26722 Compra De Materiales Para La Fabricacion Por Parter Dek Area De Mantenimiento De Dos Bicicleteros</t>
  </si>
  <si>
    <t>DSEF- 1684</t>
  </si>
  <si>
    <t>Cuenta de cobro 26 fumigacion de 14 oficinas y compra de 5 productos quimicos de periferia y capacitacion al personal de sst</t>
  </si>
  <si>
    <t>1000-4618</t>
  </si>
  <si>
    <t>anticipo del 50% mantenimiento a 3 modulos tipo 2 de las zonas de santander, popayan y puerto</t>
  </si>
  <si>
    <t xml:space="preserve">cuenta de cobro de servicio de transporte de tubo galvanizado el dia 26 de seoptiembre, transporte de materiales sobrasntes desde pv san martin el dia 29 de septiembre, transport de parasol desde pv san eduardo 30 de septiembre </t>
  </si>
  <si>
    <t>DSEF-1714</t>
  </si>
  <si>
    <t>LF003/2023</t>
  </si>
  <si>
    <t>Cuenta de cobro LF003/2023 por servicio de mantenimiento general de planta electrica prinicpal oficina acertemos popayan cambio de insumos consumibles</t>
  </si>
  <si>
    <t>DSEF-1715</t>
  </si>
  <si>
    <t>cuenta de cobro 950 por concepto de transporte para la fundacion mi hijo y mi maestro desde santander de quilichao hacia el zoologico de cali y regreso</t>
  </si>
  <si>
    <t>DSEF-1709</t>
  </si>
  <si>
    <t>3 Y 4</t>
  </si>
  <si>
    <t>cuenta de cobro 3, concepto de 50 refrigerios de santander celebracion del amor y amistad septiembre / Cuenta de cobro 4 cumpleaños mes septiembre por concepto de 38 refirgerios en la oficina de santander y 44 en la oficina de puerto tejada</t>
  </si>
  <si>
    <t>252-254</t>
  </si>
  <si>
    <t xml:space="preserve">factura  252 placa en acrilico cristal 3 mm para la colaboradora elsy nayibi anchico caicedo - factura 254 suministro de pendon araña publicitaria </t>
  </si>
  <si>
    <t>servicio de transporte para recogida dentro y fuera de la ciudad de cali , con despacho a zona de occidente y norte con diferentes fechas de acuerdo a la cuenta de cobro anexa</t>
  </si>
  <si>
    <t>Cuenta de cobro por concepto de 6 cuñas y perifoneo de productos y servicios- cuenta de cobro por cuñas radiales pauta publicitaria emisora el sol y occidente durante el mes de septiembre</t>
  </si>
  <si>
    <t>Transporte de cabiona desde bodega viñedo hasta of 31 de marzo, 2 plantas y un cajon chancero hasat jose maria obando y barrio campos asi mismo el transporte desde corona club hasat silvia cauca los dias 28-29 de septiembre y 1 de octubre</t>
  </si>
  <si>
    <t>674-673</t>
  </si>
  <si>
    <t>factura 674 pago saldo anticipo compra de plantas para la oficina principal de santander y factura 673 compra de 3 materalas de cemento 12 materqas plasticas 3 bultoa de tierra para la oficina principal de santander</t>
  </si>
  <si>
    <t>factura 0085, traslado de vidrio templado que se encuentra en la oficina de san agustin hasta la bodega, el transporte se debe realizar con un personal experto de traslado de vidrios - FACTURA 86 mantenimiento de puerta corrediza en aluminio Para el punto de venta Facultad de Medicina-popayan</t>
  </si>
  <si>
    <t>Servcicio de transporte de 5 plantas electricas desde puerto tejada hasta a la oficina de santander para cubrir contingencia en el municipio - servicio de trasnporte de 5 plantas electricas al municipio de puerto tejada</t>
  </si>
  <si>
    <t>Servicio de trasnporte personal de escrutinio del 16 al 30 septiembre</t>
  </si>
  <si>
    <t>cuenta de cobro servicio reparacion de 1 tv de samsung de 40 p y cuenta de cobro reparacion de 1 tv lg de 43</t>
  </si>
  <si>
    <t>DSEF-1710 y DSEF 1726</t>
  </si>
  <si>
    <t>saldo 50% anticipo  factura 74 suministro de lonna banner para valla villarrica entrada con estructura metalica y vinilo reflectivos</t>
  </si>
  <si>
    <t>DSEF-1727</t>
  </si>
  <si>
    <t>DSEF-1728 Y DSEF -1729</t>
  </si>
  <si>
    <t>DSEF- 1731</t>
  </si>
  <si>
    <t>DSEF-1708 y DSEF-1732</t>
  </si>
  <si>
    <t>DSEF 1733- y DSEF-1734</t>
  </si>
  <si>
    <t>DSEF-1735</t>
  </si>
  <si>
    <t>DSEF-1736 y DSEF-1737</t>
  </si>
  <si>
    <t>DSEF-1739</t>
  </si>
  <si>
    <t>DSEF-1740 y DSEF-1741</t>
  </si>
  <si>
    <t>Asesoria, Acompa?amiento, Creacion Ejecucion Y Control Del Programa Certeros Para Todo El Personal De La Empresa Mes Octubre</t>
  </si>
  <si>
    <t>DSEF-1742 y dsef 1743</t>
  </si>
  <si>
    <t>1000-4621</t>
  </si>
  <si>
    <t>100-4622</t>
  </si>
  <si>
    <t>Anticipo Del 30% (total Contrato $85.089.942) Para El Proveedor Harinera Del Valle Correspondiente A Anchetas Fin De A?o Previamente Aprobado Por Gerencia Y Direccion Financiera</t>
  </si>
  <si>
    <t>Anticipo Del 50% (total Contrato $29.073.800) Para El Proveedor Promma Comunicaciones Correspondiente A Anchetas Fin De A?o Previamente Aprobado Por Gerencia Y Direccion Financiera</t>
  </si>
  <si>
    <t>DC01-16904</t>
  </si>
  <si>
    <t>DC01-16907-16906-16908</t>
  </si>
  <si>
    <t>DC01-16919</t>
  </si>
  <si>
    <t>DSEF-1695 y DSEF -1738</t>
  </si>
  <si>
    <t>DSEF-1746</t>
  </si>
  <si>
    <t>Alquiler De Valla Publicitaria Sector La Fortaleza Entrada A Popayan Mes De octubre  2023</t>
  </si>
  <si>
    <t>DSEF-1747</t>
  </si>
  <si>
    <t>cuenta de cobro por concepto compra de Articulos para el hogar y decoracion, juego de sala imperio 3 puestos incluye mesa de centro y juego de alcoba entrega premio remodela tu casa al cia alfonso guaza de guachene</t>
  </si>
  <si>
    <t xml:space="preserve">                                                                 </t>
  </si>
  <si>
    <t>PROGRAMACIÓN DE PAGOS DEL 5 DE JULIO</t>
  </si>
  <si>
    <t xml:space="preserve"> Fept38790</t>
  </si>
  <si>
    <t>Factura Isso 10006 Pruebas Al Personal Por Ingreso De Nuevos Colaboradores, De Acuerdo A La Relacion Adjunta</t>
  </si>
  <si>
    <t>DC01-19319</t>
  </si>
  <si>
    <t xml:space="preserve"> Isso 10006</t>
  </si>
  <si>
    <t>Factura Fv 7334 Suministro De 3 Licencias De Microsoft Para Negocio 1 A?o (incluye Word, Excel, Powepoint, Outlook, Access, Publicher, 1tb One Drive, Para 1 Usuiario Con 6 Dispositivos) .</t>
  </si>
  <si>
    <t>DC01-19301</t>
  </si>
  <si>
    <t>Fv 7334</t>
  </si>
  <si>
    <t>Factura Fe- 2462 Honorarios Con Ocasion De Servicios De Asesoria Legal Permanente En El Area Comercial, Civil Y Administrativo Al Mes De Junio 2024</t>
  </si>
  <si>
    <t>DC01-19468</t>
  </si>
  <si>
    <t xml:space="preserve"> Fe- 2462 </t>
  </si>
  <si>
    <t>Factura Ade41194, Ade41189, Ade41195, Ade41193 Ciudadela Unicentro, Administracion Oficina, 304 D, 305b, 303-305 A  Mes De Junio  2024</t>
  </si>
  <si>
    <t>DC01-19546</t>
  </si>
  <si>
    <t xml:space="preserve"> Ade41194, Ade41189, Ade41195, Ade41193 </t>
  </si>
  <si>
    <t>Factura Fe 47850  Centinela De Occidente, Servicio De Vigilancia Punto De Venta El Bosque Junio 2024</t>
  </si>
  <si>
    <t>DC01-19613</t>
  </si>
  <si>
    <t>Fe 47850</t>
  </si>
  <si>
    <t>Factura Fe 10954 Servicio De Alquiler Correspondiente Al Mes De Abril - Mayo  Del 2024 Impresora En La Oficina De Area De Tecnologia De Santander
Factura Fe 10971 Servicio De Alquiler Correspondiente Impresora En La Oficina De Area Financiera Santander</t>
  </si>
  <si>
    <t>DC01-19328-19339</t>
  </si>
  <si>
    <t>Fe 10954, Fe 10971</t>
  </si>
  <si>
    <t>DC01-19492</t>
  </si>
  <si>
    <t>Factura 1137-7662 Suministro De Abarzaderas  Solicitud De Sistemas Para Trabajos En Occidente</t>
  </si>
  <si>
    <t>1137-7662</t>
  </si>
  <si>
    <t>DC01-19347</t>
  </si>
  <si>
    <t>Factura 1fe26059-20613 Suministro De Candados Requeridos Con Urgencia El D?a De Ayer Para El Pv Solidaridad Y El D?a De Hoy En El Pv Ulloa, Ambos De Popay?n.</t>
  </si>
  <si>
    <t>1fe26059-20613</t>
  </si>
  <si>
    <t xml:space="preserve">DC01-19300-19486
</t>
  </si>
  <si>
    <t xml:space="preserve">Factura 01-1889663 Radio Cadena Nacional, Cunas Radiales, Propaganda Progama Local Radio Uno Popayan, Noticias De Uno Popayan Recargas, Chances Y Pagos Abril/2024
Factura 01-1893250 Radio Cadena Nacional, Cunas Radiales, Propaganda Progama Local Radio Uno Popayan, Noticias De Uno Popayan Recargas, Chances Y Pagos Mayo/2024,
</t>
  </si>
  <si>
    <t xml:space="preserve"> 01-1889663 
01-1893250</t>
  </si>
  <si>
    <t>DC01-19548</t>
  </si>
  <si>
    <t>Factura Fe 2923 Servicio Mensual De Aplicativo Binaps Software Service - Riesgos, Dctos, Planes De Accion, Auditorias, Pqrs Y Actas Junio/2024</t>
  </si>
  <si>
    <t xml:space="preserve">Fe 2923 </t>
  </si>
  <si>
    <t>DC01-19330-19388</t>
  </si>
  <si>
    <t>Eoxi 10527-10673</t>
  </si>
  <si>
    <t>Factura Eoxi 10527 Compra De Taladro Para Personal De Mantenimiento Zona Santander
Factura 10673 Recarga Y Mantenimiento A 4 Extintores Zona De Popay?n</t>
  </si>
  <si>
    <t>DC01-19487-19323</t>
  </si>
  <si>
    <t>Fedv 46491-45993</t>
  </si>
  <si>
    <t>Factura Fedv 46491 Compra De Tintas 664 Por Contingencia Para La Zona De Popay?n Solicitud ?rea Administrativa
Factura Fedv 45993 Compra De 10 Teclados Y 10 Mouse Solicitud Del Area De Tecnologia</t>
  </si>
  <si>
    <t>DC01-19556</t>
  </si>
  <si>
    <t>Factura Fe 83 Servicio De Brandeo Ascensor Centro Comercial Terraplaza</t>
  </si>
  <si>
    <t xml:space="preserve">Fe 83 </t>
  </si>
  <si>
    <t>DC01-19724</t>
  </si>
  <si>
    <t>Factura Fve 2215 Y 2216 Servicio De Transporte Ida Y Regreso Holguines Trade Center-parque Ppal Santander Junio  24,25,26,27,28 De2024 Y 2-3-4-5 De Julio</t>
  </si>
  <si>
    <t>Fve 2215 Y 2216</t>
  </si>
  <si>
    <t>DC01-19693</t>
  </si>
  <si>
    <t>Factura Fe 27673 Suministro De Cinta Impresora Erc</t>
  </si>
  <si>
    <t>Fe 27673</t>
  </si>
  <si>
    <t>DC01-19695</t>
  </si>
  <si>
    <t>Factura Ib 761 Factura Suministro De Cintas Tmu Erc 34-38 Para Todas Las Zonas 480popayan, 480 Stder, 480 Pto Tejada, 175 Occidente. Del 3 De Julio  Al 3 De Septiembre</t>
  </si>
  <si>
    <t>Ib 761</t>
  </si>
  <si>
    <t>DC01-19692</t>
  </si>
  <si>
    <t>Factura Fpo-11506584 Liberty Seguros, Pago Polizas Por Concepto De Cobro De Prima Mensual Correspondiente Al Periodo 01/06/2024 Al 01/07/2024. Doc Cobro Inv-014344</t>
  </si>
  <si>
    <t>Fpo-11506584</t>
  </si>
  <si>
    <t>DC01-19687</t>
  </si>
  <si>
    <t>Factura 421 Visita Para Revisi?n Y Diagn?stico De Goteras Of De Puerto Tejada</t>
  </si>
  <si>
    <t>FELE 1567</t>
  </si>
  <si>
    <t>DC01-19684</t>
  </si>
  <si>
    <t>Factura Fele 1567 Solo Por Servicios S En C, Servicio Integral De Aseo Y Cafeteria De Lunes A Sabado 8 Horas  Diurnas En La Zona De Puerto Tejada Mes De Junio  De 2024</t>
  </si>
  <si>
    <t>FC 2208</t>
  </si>
  <si>
    <t>DC01-19685</t>
  </si>
  <si>
    <t>Factura Fc 2208 Compra De Elementos De Prueba Para Aperturar Venta En La Casa De La Cultura Puerto Tejada (cable Hdmi, Mouse Genius, Teclado Genius )</t>
  </si>
  <si>
    <t>ABBA 172</t>
  </si>
  <si>
    <t>DC01-19675</t>
  </si>
  <si>
    <t>Factura Abba 172 Compra De Lona Para La Foton Del Promocional Mes De Junio Solicitud De Mercadeo</t>
  </si>
  <si>
    <t>DC01-19673</t>
  </si>
  <si>
    <t>Factura Fve 5277 Oficauca Sas, Alquiler De Fotocopiadora Area  De Archivo   De 18 De Junio Al 18 De Julio 2024 - Factura Fve 5278 Oficauca Sas, Alquiler De Fotocopiadora Sede San Agustin  De 15 De Junio  Al 15 De Julio 2024</t>
  </si>
  <si>
    <t xml:space="preserve">Fve 5277 </t>
  </si>
  <si>
    <t>Fev 3366-3415</t>
  </si>
  <si>
    <t>DC01-19686-19676</t>
  </si>
  <si>
    <t>Factura Fev 3366 Compra De Elementos De Prueba Para Aperturar Venta En La Casa De La Cultura Puerto Tejada (teclado Genius, Adaptador Display Sport Hdmi - Vga
Factura Fev 3415 Compra De Una Base De Tv Para Aperturar Venta En Zona Puerto Tejada Solicitud De Gerencia</t>
  </si>
  <si>
    <t>DC01-19677</t>
  </si>
  <si>
    <t>Factura Fe 1619 Servicio De Reparacion Caja Fuerte De Of Principal De Puerto</t>
  </si>
  <si>
    <t xml:space="preserve"> Fe 1619 </t>
  </si>
  <si>
    <t>MKM 2325</t>
  </si>
  <si>
    <t>DC01-19725</t>
  </si>
  <si>
    <t>Factura Mkm 2325 Serivicio De Instalacion De Biometrico En  Oficina De Unicentro  Y Suministro De Boton Y Terminal De Reconocimiento Facial</t>
  </si>
  <si>
    <t>PPFE 727-706-802</t>
  </si>
  <si>
    <t>DC01-19683-19670-19726</t>
  </si>
  <si>
    <t>Factura Ppfe 727 Compra De Materiales Para Adecuaci?n En Pv San Antonio Miranda. Factura Ppfe 761 Compra De Materiales Para Asegurar Cabina De Venta Sector Puente Elevado De Santander
Factura Ppfe 706 Compra De Lava Traperos Para Local Comercial Y Factura Ppfe 726 Y Compra De Chazos Y Pie De Amigos Para Instalar Aviso Luminoso En Pv La Trinidad Santander De Quilichao
Factura  Ppfe 802 Compra De Elementos Para Arreglo De Motobomba En La Oficina Principal De Santander</t>
  </si>
  <si>
    <t>DSEF-</t>
  </si>
  <si>
    <t>DSEF-2583-2587</t>
  </si>
  <si>
    <t>CUENTA DE COBRO  COMPRA DE BASE PARA TOMBOLA SOLICITUD AREA DE MERCADEO
CUENTA DE COBRO SERVICIO DE ARREGLOS (CAJA DE SEGURIDAD OFI PRINICPAL, ARREGLO MANIJAS DE CAJA DE SEGURIDAD Y SOLDADURA DE PUERTA QUE CONDUCE AL CIELO RASO DE LA OFICINA PRINCIPAL</t>
  </si>
  <si>
    <t>DSEF-2588</t>
  </si>
  <si>
    <t>cuentas de cobro SERVICIO DE PAUTA PUBLICITARIA MERCADERES, MES DE mayo y junio</t>
  </si>
  <si>
    <t>DSEF-2589</t>
  </si>
  <si>
    <t>factura 1261 y 1262 servicio de hospedaje para los colaboradores  Claudia Carabali la noche del 20 de junio de 2024 y Andres Vasquez las noches del 18 y 19 de junio de 2024</t>
  </si>
  <si>
    <t>DSEF-2593</t>
  </si>
  <si>
    <t>cuenta de cobro 522   Concepto De  Valla Publicitaria De 4*8 Metros Ubicada En Hacienda Los Potrillos En Santander De Quilichao, Pauta Publicitaria En Tv, Difunsion En Redes Sociales, Cubrimientos Noticiosos Y Registro Fotografico Mes junio 2024</t>
  </si>
  <si>
    <t>DSEF-2597</t>
  </si>
  <si>
    <t>factura 464  GLPI 80140 SERVICIO DE MANTENIMIENTO A CORTINA PV PALACE.</t>
  </si>
  <si>
    <t>DSEF-2596</t>
  </si>
  <si>
    <t>cuenta de cobro GLPI 80725 SERVICIO DE TRANSPORTE EN LA ZONA DE POPAY?N (4 VIAJES )  transporte de marcotensor y tombola, trasnporte monserreat evento mercadeo, transporte escombros bodega creciendo, transporte terminal de trasnporte</t>
  </si>
  <si>
    <t>DSEF-2595</t>
  </si>
  <si>
    <t>cuenta de cobro  EXPANSI?N, TRASLADO DE PUERTA DE SEGURIDAD, ESTUCO Y PINTURA MANO DE OBRA EN EXPANSI?N OF LA BARCA, GUAPI</t>
  </si>
  <si>
    <t>178-179-180</t>
  </si>
  <si>
    <t>DSEF-2585-2586-2594</t>
  </si>
  <si>
    <t>cuenta de cobro 178 INTERVENTOR?A EL?CTRICA A OF PRINCIPAL DE SANTANDER
cuenta de cobro 179  SERVICIO DE ADECUACION ELECTRICA Y CABLEADO HDMI EN OFICINA SALA DE JUNTAS DE LA OFICINA PRINCIPAL DE SANTANDER
cuenta de cobro 180 SERVICIO DE MANTENIMIENTO EL?CTRICO EN OFICINA PALACIO DEL PANDEBONO</t>
  </si>
  <si>
    <t>1000-5455</t>
  </si>
  <si>
    <t>Factura 60-17404 Y 10-39476 Compra De Elementos Tecnol?gicos  Solicitud De  Infraestructura Devoluicion Retencion El Proveedor Es Autoretenedor En Renta</t>
  </si>
  <si>
    <t>DC01-19384-1000-5454</t>
  </si>
  <si>
    <t>Factura Fept38790 Servicio Audiplay Mes De Junio  /2024
Anticipo Al 50% Compra De Board Sunmi V2 Solicitud De Tecnologia</t>
  </si>
  <si>
    <t>1000-5453</t>
  </si>
  <si>
    <t>Anticipo 50% Compra De Muestra De Maletin Domiciliario Para El Area De Logistica</t>
  </si>
  <si>
    <t>1000-5452</t>
  </si>
  <si>
    <t>Anticipo 50% Para Compra De Estantes Industriales Para Las Bodegas De Puerto Y Popay?n</t>
  </si>
  <si>
    <t>GESTIÓN FINANCIERA</t>
  </si>
  <si>
    <t>Versión: 6</t>
  </si>
  <si>
    <t>Fecha: 29-Ago-24</t>
  </si>
  <si>
    <t>CUENTA POR PAGAR</t>
  </si>
  <si>
    <t xml:space="preserve">BENEFICIARIO </t>
  </si>
  <si>
    <t>DOCUMENTO CONTABLE</t>
  </si>
  <si>
    <t>________________________________________________________________________</t>
  </si>
  <si>
    <t>FIRMA</t>
  </si>
  <si>
    <t>PROGRAMACIÓN  DE PAGOS FACTURAS DE INTERNET</t>
  </si>
  <si>
    <t>PROGRAMACIÓN DE PAGOS: DE 04 FEBRERO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</si>
</sst>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2" formatCode="_-&quot;$&quot;\ * #,##0_-;\-&quot;$&quot;\ * #,##0_-;_-&quot;$&quot;\ * &quot;-&quot;_-;_-@_-"/>
    <numFmt numFmtId="41" formatCode="_-* #,##0_-;\-* #,##0_-;_-* &quot;-&quot;_-;_-@_-"/>
    <numFmt numFmtId="44" formatCode="_-&quot;$&quot;\ * #,##0.00_-;\-&quot;$&quot;\ * #,##0.00_-;_-&quot;$&quot;\ * &quot;-&quot;??_-;_-@_-"/>
    <numFmt numFmtId="43" formatCode="_-* #,##0.00_-;\-* #,##0.00_-;_-* &quot;-&quot;??_-;_-@_-"/>
    <numFmt numFmtId="164" formatCode="_-[$$-240A]\ * #,##0_-;\-[$$-240A]\ * #,##0_-;_-[$$-240A]\ * &quot;-&quot;??_-;_-@_-"/>
    <numFmt numFmtId="165" formatCode="_-* #,##0.00\ _€_-;\-* #,##0.00\ _€_-;_-* &quot;-&quot;??\ _€_-;_-@_-"/>
    <numFmt numFmtId="166" formatCode="&quot;$ &quot;#,##0"/>
    <numFmt numFmtId="167" formatCode="_-&quot;$&quot;\ * #,##0_-;\-&quot;$&quot;\ * #,##0_-;_-&quot;$&quot;\ * &quot;-&quot;??_-;_-@_-"/>
  </numFmts>
  <fonts count="41" x14ac:knownFonts="1">
    <font>
      <sz val="11"/>
      <color theme="1"/>
      <name val="Calibri"/>
      <family val="2"/>
      <scheme val="minor"/>
    </font>
    <font>
      <sz val="11"/>
      <color theme="1"/>
      <name val="Calibri"/>
      <family val="2"/>
      <scheme val="minor"/>
    </font>
    <font>
      <sz val="11"/>
      <color indexed="8"/>
      <name val="Century Gothic"/>
      <family val="2"/>
    </font>
    <font>
      <sz val="10"/>
      <color indexed="8"/>
      <name val="Century Gothic"/>
      <family val="2"/>
    </font>
    <font>
      <b/>
      <sz val="9"/>
      <color theme="0"/>
      <name val="Century Gothic"/>
      <family val="2"/>
    </font>
    <font>
      <b/>
      <sz val="9"/>
      <name val="Century Gothic"/>
      <family val="2"/>
    </font>
    <font>
      <sz val="11"/>
      <color theme="1"/>
      <name val="Century Gothic"/>
      <family val="2"/>
    </font>
    <font>
      <sz val="10"/>
      <name val="Century Gothic"/>
      <family val="2"/>
    </font>
    <font>
      <sz val="11"/>
      <name val="Century Gothic"/>
      <family val="2"/>
    </font>
    <font>
      <sz val="11"/>
      <color indexed="8"/>
      <name val="Calibri"/>
      <family val="2"/>
    </font>
    <font>
      <sz val="8"/>
      <name val="Calibri"/>
      <family val="2"/>
      <scheme val="minor"/>
    </font>
    <font>
      <b/>
      <sz val="11"/>
      <color theme="0"/>
      <name val="Century Gothic"/>
      <family val="2"/>
    </font>
    <font>
      <sz val="11"/>
      <color rgb="FF000000"/>
      <name val="Arial"/>
      <family val="2"/>
      <charset val="1"/>
    </font>
    <font>
      <b/>
      <sz val="11"/>
      <name val="Arial"/>
      <family val="2"/>
    </font>
    <font>
      <b/>
      <sz val="11"/>
      <color rgb="FF222222"/>
      <name val="Arial"/>
      <family val="2"/>
    </font>
    <font>
      <sz val="11"/>
      <color rgb="FF222222"/>
      <name val="Arial"/>
      <family val="2"/>
      <charset val="1"/>
    </font>
    <font>
      <b/>
      <sz val="11"/>
      <color rgb="FF000000"/>
      <name val="Arial"/>
      <family val="2"/>
    </font>
    <font>
      <sz val="11"/>
      <name val="Arial"/>
      <family val="2"/>
      <charset val="1"/>
    </font>
    <font>
      <b/>
      <sz val="11"/>
      <color rgb="FF000000"/>
      <name val="Arial"/>
      <family val="2"/>
      <charset val="1"/>
    </font>
    <font>
      <b/>
      <sz val="9"/>
      <color rgb="FF000000"/>
      <name val="Arial"/>
      <family val="2"/>
      <charset val="1"/>
    </font>
    <font>
      <b/>
      <sz val="8"/>
      <color rgb="FF000000"/>
      <name val="Arial"/>
      <family val="2"/>
      <charset val="1"/>
    </font>
    <font>
      <sz val="10"/>
      <color rgb="FF000000"/>
      <name val="Arial"/>
      <family val="2"/>
      <charset val="1"/>
    </font>
    <font>
      <b/>
      <sz val="12"/>
      <color rgb="FF000000"/>
      <name val="Arial"/>
      <family val="2"/>
    </font>
    <font>
      <b/>
      <sz val="12"/>
      <color indexed="8"/>
      <name val="Century Gothic"/>
      <family val="2"/>
    </font>
    <font>
      <b/>
      <sz val="11"/>
      <color theme="1"/>
      <name val="Calibri"/>
      <family val="2"/>
      <scheme val="minor"/>
    </font>
    <font>
      <b/>
      <sz val="11"/>
      <name val="Century Gothic"/>
      <family val="2"/>
    </font>
    <font>
      <b/>
      <sz val="11"/>
      <color rgb="FFFF0000"/>
      <name val="Arial"/>
      <family val="2"/>
      <charset val="1"/>
    </font>
    <font>
      <b/>
      <sz val="9"/>
      <color rgb="FFFF0000"/>
      <name val="Century Gothic"/>
      <family val="2"/>
    </font>
    <font>
      <sz val="11"/>
      <color rgb="FFFF0000"/>
      <name val="Century Gothic"/>
      <family val="2"/>
    </font>
    <font>
      <b/>
      <sz val="12"/>
      <color rgb="FFFF0000"/>
      <name val="Arial"/>
      <family val="2"/>
    </font>
    <font>
      <sz val="11"/>
      <color rgb="FF000000"/>
      <name val="Calibri"/>
      <family val="2"/>
    </font>
    <font>
      <b/>
      <sz val="11"/>
      <color theme="1"/>
      <name val="Arial"/>
      <family val="2"/>
    </font>
    <font>
      <b/>
      <sz val="11"/>
      <color rgb="FFFFFFFF"/>
      <name val="Arial"/>
      <family val="2"/>
    </font>
    <font>
      <sz val="11"/>
      <color rgb="FF000000"/>
      <name val="Arial"/>
      <family val="2"/>
    </font>
    <font>
      <sz val="11"/>
      <color theme="1"/>
      <name val="Arial"/>
      <family val="2"/>
    </font>
    <font>
      <b/>
      <sz val="14"/>
      <name val="Arial"/>
      <family val="2"/>
      <charset val="1"/>
    </font>
    <font>
      <sz val="14"/>
      <color theme="1"/>
      <name val="Arial"/>
      <family val="2"/>
    </font>
    <font>
      <b/>
      <sz val="10"/>
      <color rgb="FF000000"/>
      <name val="Arial"/>
      <family val="2"/>
      <charset val="1"/>
    </font>
    <font>
      <sz val="10"/>
      <color theme="1"/>
      <name val="Arial"/>
      <family val="2"/>
    </font>
    <font>
      <sz val="10"/>
      <color theme="1"/>
      <name val="Calibri"/>
      <family val="2"/>
      <scheme val="minor"/>
    </font>
    <font>
      <u/>
      <sz val="10"/>
      <color theme="1"/>
      <name val="Arial"/>
      <family val="2"/>
    </font>
  </fonts>
  <fills count="13">
    <fill>
      <patternFill patternType="none"/>
    </fill>
    <fill>
      <patternFill patternType="gray125"/>
    </fill>
    <fill>
      <patternFill patternType="solid">
        <fgColor indexed="9"/>
        <bgColor indexed="26"/>
      </patternFill>
    </fill>
    <fill>
      <patternFill patternType="solid">
        <fgColor theme="3" tint="-0.249977111117893"/>
        <bgColor indexed="40"/>
      </patternFill>
    </fill>
    <fill>
      <patternFill patternType="solid">
        <fgColor theme="0"/>
        <bgColor indexed="64"/>
      </patternFill>
    </fill>
    <fill>
      <patternFill patternType="solid">
        <fgColor rgb="FFFFFF00"/>
        <bgColor indexed="64"/>
      </patternFill>
    </fill>
    <fill>
      <patternFill patternType="solid">
        <fgColor rgb="FFFFFFFF"/>
        <bgColor rgb="FFFFFFCC"/>
      </patternFill>
    </fill>
    <fill>
      <patternFill patternType="solid">
        <fgColor rgb="FFC6D9F1"/>
        <bgColor rgb="FFC0C0C0"/>
      </patternFill>
    </fill>
    <fill>
      <patternFill patternType="solid">
        <fgColor theme="0"/>
        <bgColor indexed="26"/>
      </patternFill>
    </fill>
    <fill>
      <patternFill patternType="solid">
        <fgColor theme="0"/>
        <bgColor rgb="FFFFFFCC"/>
      </patternFill>
    </fill>
    <fill>
      <patternFill patternType="solid">
        <fgColor rgb="FFFF0000"/>
        <bgColor indexed="64"/>
      </patternFill>
    </fill>
    <fill>
      <patternFill patternType="solid">
        <fgColor rgb="FF17375E"/>
        <bgColor rgb="FF333399"/>
      </patternFill>
    </fill>
    <fill>
      <patternFill patternType="solid">
        <fgColor rgb="FFFFFF00"/>
        <bgColor rgb="FFFFFFCC"/>
      </patternFill>
    </fill>
  </fills>
  <borders count="4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4">
    <xf numFmtId="0" fontId="0" fillId="0" borderId="0"/>
    <xf numFmtId="165" fontId="1" fillId="0" borderId="0" applyFont="0" applyFill="0" applyBorder="0" applyAlignment="0" applyProtection="0"/>
    <xf numFmtId="41" fontId="9" fillId="0" borderId="0" applyFont="0" applyFill="0" applyBorder="0" applyAlignment="0" applyProtection="0"/>
    <xf numFmtId="42" fontId="1" fillId="0" borderId="0" applyFont="0" applyFill="0" applyBorder="0" applyAlignment="0" applyProtection="0"/>
    <xf numFmtId="41" fontId="9"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0" fontId="1" fillId="0" borderId="0"/>
    <xf numFmtId="41" fontId="9" fillId="0" borderId="0" applyFont="0" applyFill="0" applyBorder="0" applyAlignment="0" applyProtection="0"/>
    <xf numFmtId="42" fontId="1" fillId="0" borderId="0" applyFont="0" applyFill="0" applyBorder="0" applyAlignment="0" applyProtection="0"/>
    <xf numFmtId="41" fontId="9"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220">
    <xf numFmtId="0" fontId="0" fillId="0" borderId="0" xfId="0"/>
    <xf numFmtId="0" fontId="2" fillId="2" borderId="0" xfId="0" applyFont="1" applyFill="1" applyProtection="1">
      <protection hidden="1"/>
    </xf>
    <xf numFmtId="0" fontId="4" fillId="3" borderId="2" xfId="0" applyFont="1" applyFill="1" applyBorder="1" applyAlignment="1" applyProtection="1">
      <alignment horizontal="center" vertical="center" wrapText="1"/>
      <protection locked="0"/>
    </xf>
    <xf numFmtId="0" fontId="8" fillId="2" borderId="0" xfId="0" applyFont="1" applyFill="1" applyProtection="1">
      <protection hidden="1"/>
    </xf>
    <xf numFmtId="49" fontId="2" fillId="2" borderId="0" xfId="0" applyNumberFormat="1" applyFont="1" applyFill="1" applyAlignment="1" applyProtection="1">
      <alignment horizontal="center"/>
      <protection hidden="1"/>
    </xf>
    <xf numFmtId="0" fontId="2" fillId="2" borderId="0" xfId="0" applyFont="1" applyFill="1" applyAlignment="1" applyProtection="1">
      <alignment wrapText="1"/>
      <protection hidden="1"/>
    </xf>
    <xf numFmtId="1" fontId="2" fillId="2" borderId="0" xfId="0" applyNumberFormat="1" applyFont="1" applyFill="1" applyAlignment="1" applyProtection="1">
      <alignment horizontal="center"/>
      <protection hidden="1"/>
    </xf>
    <xf numFmtId="0" fontId="8" fillId="5" borderId="1" xfId="0" applyFont="1" applyFill="1" applyBorder="1" applyAlignment="1" applyProtection="1">
      <alignment horizontal="center" vertical="center" wrapText="1"/>
      <protection locked="0"/>
    </xf>
    <xf numFmtId="0" fontId="12" fillId="0" borderId="0" xfId="0" applyFont="1" applyProtection="1">
      <protection hidden="1"/>
    </xf>
    <xf numFmtId="0" fontId="12" fillId="6" borderId="0" xfId="0" applyFont="1" applyFill="1" applyProtection="1">
      <protection hidden="1"/>
    </xf>
    <xf numFmtId="0" fontId="16" fillId="6" borderId="1" xfId="0" applyFont="1" applyFill="1" applyBorder="1" applyAlignment="1" applyProtection="1">
      <alignment vertical="center" wrapText="1"/>
      <protection hidden="1"/>
    </xf>
    <xf numFmtId="0" fontId="19" fillId="7" borderId="6" xfId="0" applyFont="1" applyFill="1" applyBorder="1" applyAlignment="1" applyProtection="1">
      <alignment horizontal="left" vertical="center"/>
      <protection hidden="1"/>
    </xf>
    <xf numFmtId="0" fontId="2" fillId="4" borderId="0" xfId="0" applyFont="1" applyFill="1" applyProtection="1">
      <protection hidden="1"/>
    </xf>
    <xf numFmtId="0" fontId="2" fillId="8" borderId="0" xfId="0" applyFont="1" applyFill="1" applyProtection="1">
      <protection hidden="1"/>
    </xf>
    <xf numFmtId="0" fontId="8" fillId="8" borderId="0" xfId="0" applyFont="1" applyFill="1" applyProtection="1">
      <protection hidden="1"/>
    </xf>
    <xf numFmtId="49" fontId="2" fillId="8" borderId="0" xfId="0" applyNumberFormat="1" applyFont="1" applyFill="1" applyAlignment="1" applyProtection="1">
      <alignment horizontal="center"/>
      <protection hidden="1"/>
    </xf>
    <xf numFmtId="1" fontId="2" fillId="8" borderId="0" xfId="0" applyNumberFormat="1" applyFont="1" applyFill="1" applyAlignment="1" applyProtection="1">
      <alignment horizontal="center"/>
      <protection hidden="1"/>
    </xf>
    <xf numFmtId="0" fontId="2" fillId="8" borderId="0" xfId="0" applyFont="1" applyFill="1" applyAlignment="1" applyProtection="1">
      <alignment wrapText="1"/>
      <protection hidden="1"/>
    </xf>
    <xf numFmtId="0" fontId="0" fillId="4" borderId="0" xfId="0" applyFill="1"/>
    <xf numFmtId="0" fontId="21" fillId="9" borderId="0" xfId="0" applyFont="1" applyFill="1" applyProtection="1">
      <protection hidden="1"/>
    </xf>
    <xf numFmtId="0" fontId="12" fillId="4" borderId="0" xfId="0" applyFont="1" applyFill="1" applyProtection="1">
      <protection hidden="1"/>
    </xf>
    <xf numFmtId="0" fontId="19" fillId="7" borderId="3" xfId="0" applyFont="1" applyFill="1" applyBorder="1" applyAlignment="1" applyProtection="1">
      <alignment horizontal="center" vertical="center"/>
      <protection hidden="1"/>
    </xf>
    <xf numFmtId="0" fontId="19" fillId="7" borderId="3" xfId="0" applyFont="1" applyFill="1" applyBorder="1" applyAlignment="1" applyProtection="1">
      <alignment horizontal="center" vertical="center" wrapText="1"/>
      <protection hidden="1"/>
    </xf>
    <xf numFmtId="0" fontId="19" fillId="7" borderId="6" xfId="0" applyFont="1" applyFill="1" applyBorder="1" applyAlignment="1" applyProtection="1">
      <alignment horizontal="center" vertical="center"/>
      <protection hidden="1"/>
    </xf>
    <xf numFmtId="166" fontId="12" fillId="6" borderId="0" xfId="0" applyNumberFormat="1" applyFont="1" applyFill="1" applyProtection="1">
      <protection hidden="1"/>
    </xf>
    <xf numFmtId="0" fontId="12" fillId="6" borderId="0" xfId="0" applyFont="1" applyFill="1" applyAlignment="1" applyProtection="1">
      <alignment horizontal="left" vertical="center" wrapText="1"/>
      <protection hidden="1"/>
    </xf>
    <xf numFmtId="0" fontId="22" fillId="6" borderId="0" xfId="0" applyFont="1" applyFill="1" applyAlignment="1" applyProtection="1">
      <alignment vertical="center"/>
      <protection hidden="1"/>
    </xf>
    <xf numFmtId="0" fontId="22" fillId="6" borderId="0" xfId="0" applyFont="1" applyFill="1" applyProtection="1">
      <protection hidden="1"/>
    </xf>
    <xf numFmtId="0" fontId="22" fillId="6" borderId="0" xfId="0" applyFont="1" applyFill="1" applyAlignment="1" applyProtection="1">
      <alignment horizontal="right"/>
      <protection hidden="1"/>
    </xf>
    <xf numFmtId="0" fontId="22" fillId="0" borderId="0" xfId="0" applyFont="1" applyProtection="1">
      <protection hidden="1"/>
    </xf>
    <xf numFmtId="0" fontId="22" fillId="4" borderId="0" xfId="0" applyFont="1" applyFill="1" applyProtection="1">
      <protection hidden="1"/>
    </xf>
    <xf numFmtId="166" fontId="22" fillId="6" borderId="0" xfId="0" applyNumberFormat="1" applyFont="1" applyFill="1" applyProtection="1">
      <protection hidden="1"/>
    </xf>
    <xf numFmtId="0" fontId="22" fillId="6" borderId="0" xfId="0" applyFont="1" applyFill="1" applyAlignment="1" applyProtection="1">
      <alignment horizontal="center" vertical="center"/>
      <protection hidden="1"/>
    </xf>
    <xf numFmtId="166" fontId="22" fillId="6" borderId="0" xfId="0" applyNumberFormat="1" applyFont="1" applyFill="1" applyAlignment="1" applyProtection="1">
      <alignment horizontal="center"/>
      <protection hidden="1"/>
    </xf>
    <xf numFmtId="0" fontId="4" fillId="3" borderId="9" xfId="0" applyFont="1" applyFill="1" applyBorder="1" applyAlignment="1" applyProtection="1">
      <alignment horizontal="center" vertical="center" wrapText="1"/>
      <protection locked="0"/>
    </xf>
    <xf numFmtId="1" fontId="6" fillId="0" borderId="1" xfId="1" applyNumberFormat="1" applyFont="1" applyFill="1" applyBorder="1" applyAlignment="1">
      <alignment horizontal="center" vertical="center" wrapText="1"/>
    </xf>
    <xf numFmtId="0" fontId="8" fillId="0" borderId="1" xfId="0" applyFont="1" applyBorder="1" applyAlignment="1" applyProtection="1">
      <alignment horizontal="justify" vertical="center" wrapText="1"/>
      <protection locked="0"/>
    </xf>
    <xf numFmtId="0" fontId="14" fillId="0" borderId="7" xfId="0" applyFont="1" applyBorder="1" applyAlignment="1" applyProtection="1">
      <alignment vertical="center"/>
      <protection hidden="1"/>
    </xf>
    <xf numFmtId="0" fontId="12" fillId="4" borderId="11" xfId="0" applyFont="1" applyFill="1" applyBorder="1" applyProtection="1">
      <protection hidden="1"/>
    </xf>
    <xf numFmtId="0" fontId="12" fillId="4" borderId="12" xfId="0" applyFont="1" applyFill="1" applyBorder="1" applyProtection="1">
      <protection hidden="1"/>
    </xf>
    <xf numFmtId="0" fontId="12" fillId="4" borderId="13" xfId="0" applyFont="1" applyFill="1" applyBorder="1" applyProtection="1">
      <protection hidden="1"/>
    </xf>
    <xf numFmtId="0" fontId="12" fillId="6" borderId="14" xfId="0" applyFont="1" applyFill="1" applyBorder="1" applyProtection="1">
      <protection hidden="1"/>
    </xf>
    <xf numFmtId="0" fontId="17" fillId="0" borderId="0" xfId="0" applyFont="1" applyProtection="1">
      <protection hidden="1"/>
    </xf>
    <xf numFmtId="0" fontId="18" fillId="0" borderId="0" xfId="0" applyFont="1" applyAlignment="1" applyProtection="1">
      <alignment vertical="center"/>
      <protection hidden="1"/>
    </xf>
    <xf numFmtId="49" fontId="18" fillId="0" borderId="0" xfId="0" applyNumberFormat="1" applyFont="1" applyAlignment="1" applyProtection="1">
      <alignment horizontal="center" vertical="center"/>
      <protection hidden="1"/>
    </xf>
    <xf numFmtId="0" fontId="18" fillId="0" borderId="0" xfId="0" applyFont="1" applyAlignment="1" applyProtection="1">
      <alignment horizontal="center" vertical="center"/>
      <protection hidden="1"/>
    </xf>
    <xf numFmtId="3" fontId="18" fillId="0" borderId="0" xfId="0" applyNumberFormat="1" applyFont="1" applyAlignment="1" applyProtection="1">
      <alignment horizontal="left" vertical="center"/>
      <protection hidden="1"/>
    </xf>
    <xf numFmtId="0" fontId="18" fillId="0" borderId="0" xfId="0" applyFont="1" applyAlignment="1" applyProtection="1">
      <alignment horizontal="right"/>
      <protection hidden="1"/>
    </xf>
    <xf numFmtId="0" fontId="18" fillId="6" borderId="0" xfId="0" applyFont="1" applyFill="1" applyAlignment="1" applyProtection="1">
      <alignment horizontal="right"/>
      <protection hidden="1"/>
    </xf>
    <xf numFmtId="0" fontId="21" fillId="4" borderId="0" xfId="0" applyFont="1" applyFill="1" applyProtection="1">
      <protection hidden="1"/>
    </xf>
    <xf numFmtId="0" fontId="21" fillId="4" borderId="13" xfId="0" applyFont="1" applyFill="1" applyBorder="1" applyProtection="1">
      <protection hidden="1"/>
    </xf>
    <xf numFmtId="0" fontId="4" fillId="3" borderId="15" xfId="0" applyFont="1" applyFill="1" applyBorder="1" applyAlignment="1" applyProtection="1">
      <alignment horizontal="center" vertical="center" wrapText="1"/>
      <protection locked="0"/>
    </xf>
    <xf numFmtId="0" fontId="4" fillId="3" borderId="16" xfId="0" applyFont="1" applyFill="1" applyBorder="1" applyAlignment="1" applyProtection="1">
      <alignment horizontal="center" vertical="center" wrapText="1"/>
      <protection locked="0"/>
    </xf>
    <xf numFmtId="0" fontId="4" fillId="3" borderId="16" xfId="0" applyFont="1" applyFill="1" applyBorder="1" applyAlignment="1" applyProtection="1">
      <alignment horizontal="center" vertical="center" textRotation="90" wrapText="1"/>
      <protection locked="0"/>
    </xf>
    <xf numFmtId="1" fontId="4" fillId="3" borderId="16" xfId="0" applyNumberFormat="1" applyFont="1" applyFill="1" applyBorder="1" applyAlignment="1" applyProtection="1">
      <alignment horizontal="center" vertical="center" wrapText="1"/>
      <protection locked="0"/>
    </xf>
    <xf numFmtId="42" fontId="23" fillId="5" borderId="3" xfId="0" applyNumberFormat="1" applyFont="1" applyFill="1" applyBorder="1" applyProtection="1">
      <protection hidden="1"/>
    </xf>
    <xf numFmtId="1" fontId="6" fillId="0" borderId="18" xfId="1" applyNumberFormat="1" applyFont="1" applyFill="1" applyBorder="1" applyAlignment="1">
      <alignment horizontal="center" vertical="center" wrapText="1"/>
    </xf>
    <xf numFmtId="1" fontId="12" fillId="0" borderId="0" xfId="0" applyNumberFormat="1" applyFont="1" applyAlignment="1" applyProtection="1">
      <alignment horizontal="center" vertical="center"/>
      <protection hidden="1"/>
    </xf>
    <xf numFmtId="1" fontId="2" fillId="8" borderId="0" xfId="0" applyNumberFormat="1" applyFont="1" applyFill="1" applyAlignment="1" applyProtection="1">
      <alignment horizontal="center" vertical="center"/>
      <protection hidden="1"/>
    </xf>
    <xf numFmtId="1" fontId="2" fillId="2" borderId="0" xfId="0" applyNumberFormat="1" applyFont="1" applyFill="1" applyAlignment="1" applyProtection="1">
      <alignment horizontal="center" vertical="center"/>
      <protection hidden="1"/>
    </xf>
    <xf numFmtId="0" fontId="2" fillId="0" borderId="0" xfId="0" applyFont="1" applyAlignment="1" applyProtection="1">
      <alignment wrapText="1"/>
      <protection hidden="1"/>
    </xf>
    <xf numFmtId="0" fontId="22" fillId="6" borderId="0" xfId="0" applyFont="1" applyFill="1" applyAlignment="1" applyProtection="1">
      <alignment horizontal="center"/>
      <protection hidden="1"/>
    </xf>
    <xf numFmtId="42" fontId="2" fillId="2" borderId="0" xfId="0" applyNumberFormat="1" applyFont="1" applyFill="1" applyProtection="1">
      <protection hidden="1"/>
    </xf>
    <xf numFmtId="0" fontId="5" fillId="0" borderId="0" xfId="0" applyFont="1" applyAlignment="1" applyProtection="1">
      <alignment horizontal="center" vertical="center" wrapText="1"/>
      <protection locked="0"/>
    </xf>
    <xf numFmtId="164" fontId="6" fillId="0" borderId="1" xfId="0" applyNumberFormat="1" applyFont="1" applyBorder="1" applyAlignment="1">
      <alignment horizontal="center" vertical="center"/>
    </xf>
    <xf numFmtId="0" fontId="2" fillId="0" borderId="1" xfId="0" applyFont="1" applyBorder="1" applyAlignment="1" applyProtection="1">
      <alignment horizontal="center" vertical="center"/>
      <protection hidden="1"/>
    </xf>
    <xf numFmtId="3" fontId="7" fillId="0" borderId="1" xfId="0" applyNumberFormat="1" applyFont="1" applyBorder="1" applyAlignment="1" applyProtection="1">
      <alignment horizontal="center" vertical="center" wrapText="1"/>
      <protection locked="0"/>
    </xf>
    <xf numFmtId="49" fontId="3" fillId="0" borderId="1" xfId="0" applyNumberFormat="1" applyFont="1" applyBorder="1" applyAlignment="1">
      <alignment horizontal="center" vertical="center" wrapText="1"/>
    </xf>
    <xf numFmtId="0" fontId="8" fillId="0" borderId="1" xfId="0" quotePrefix="1" applyFont="1" applyBorder="1" applyAlignment="1" applyProtection="1">
      <alignment horizontal="center" vertical="center" wrapText="1"/>
      <protection locked="0"/>
    </xf>
    <xf numFmtId="0" fontId="8" fillId="0" borderId="1" xfId="0" applyFont="1" applyBorder="1" applyAlignment="1" applyProtection="1">
      <alignment horizontal="center" vertical="center" wrapText="1"/>
      <protection locked="0"/>
    </xf>
    <xf numFmtId="0" fontId="8" fillId="0" borderId="1" xfId="0" applyFont="1" applyBorder="1" applyAlignment="1">
      <alignment horizontal="center" vertical="center" wrapText="1"/>
    </xf>
    <xf numFmtId="0" fontId="2" fillId="0" borderId="0" xfId="0" applyFont="1" applyProtection="1">
      <protection hidden="1"/>
    </xf>
    <xf numFmtId="0" fontId="2" fillId="0" borderId="18" xfId="0" applyFont="1" applyBorder="1" applyAlignment="1" applyProtection="1">
      <alignment horizontal="center" vertical="center" wrapText="1"/>
      <protection locked="0"/>
    </xf>
    <xf numFmtId="164" fontId="6" fillId="0" borderId="1" xfId="0" applyNumberFormat="1" applyFont="1" applyBorder="1" applyAlignment="1">
      <alignment horizontal="center" vertical="center" wrapText="1"/>
    </xf>
    <xf numFmtId="0" fontId="2" fillId="0" borderId="1" xfId="0" applyFont="1" applyBorder="1" applyAlignment="1" applyProtection="1">
      <alignment horizontal="center" vertical="center" wrapText="1"/>
      <protection hidden="1"/>
    </xf>
    <xf numFmtId="0" fontId="2" fillId="0" borderId="17" xfId="0" applyFont="1" applyBorder="1" applyAlignment="1" applyProtection="1">
      <alignment horizontal="center" vertical="center" wrapText="1"/>
      <protection locked="0"/>
    </xf>
    <xf numFmtId="0" fontId="25" fillId="0" borderId="0" xfId="0" applyFont="1" applyAlignment="1" applyProtection="1">
      <alignment horizontal="center" vertical="center" wrapText="1"/>
      <protection locked="0"/>
    </xf>
    <xf numFmtId="3" fontId="8" fillId="0" borderId="1" xfId="0" applyNumberFormat="1" applyFont="1" applyBorder="1" applyAlignment="1" applyProtection="1">
      <alignment horizontal="center" vertical="center" wrapText="1"/>
      <protection locked="0"/>
    </xf>
    <xf numFmtId="49" fontId="2" fillId="0" borderId="1" xfId="0" applyNumberFormat="1" applyFont="1" applyBorder="1" applyAlignment="1">
      <alignment horizontal="center" vertical="center" wrapText="1"/>
    </xf>
    <xf numFmtId="1" fontId="6" fillId="0" borderId="1" xfId="0" applyNumberFormat="1" applyFont="1" applyBorder="1" applyAlignment="1">
      <alignment horizontal="center" vertical="center" wrapText="1"/>
    </xf>
    <xf numFmtId="0" fontId="2" fillId="0" borderId="22" xfId="0" applyFont="1" applyBorder="1" applyAlignment="1" applyProtection="1">
      <alignment horizontal="center" vertical="center" wrapText="1"/>
      <protection locked="0"/>
    </xf>
    <xf numFmtId="0" fontId="2" fillId="0" borderId="3" xfId="0" applyFont="1" applyBorder="1" applyAlignment="1" applyProtection="1">
      <alignment vertical="center" wrapText="1"/>
      <protection hidden="1"/>
    </xf>
    <xf numFmtId="0" fontId="7" fillId="0" borderId="1" xfId="0" quotePrefix="1" applyFont="1" applyBorder="1" applyAlignment="1" applyProtection="1">
      <alignment horizontal="center" vertical="center" wrapText="1"/>
      <protection locked="0"/>
    </xf>
    <xf numFmtId="164" fontId="6" fillId="0" borderId="18" xfId="0" applyNumberFormat="1" applyFont="1" applyBorder="1" applyAlignment="1">
      <alignment horizontal="center" vertical="center"/>
    </xf>
    <xf numFmtId="0" fontId="2" fillId="0" borderId="19" xfId="0" applyFont="1" applyBorder="1" applyAlignment="1" applyProtection="1">
      <alignment horizontal="center" vertical="center"/>
      <protection hidden="1"/>
    </xf>
    <xf numFmtId="0" fontId="8" fillId="0" borderId="20" xfId="0" quotePrefix="1" applyFont="1" applyBorder="1" applyAlignment="1" applyProtection="1">
      <alignment horizontal="center" vertical="center" wrapText="1"/>
      <protection locked="0"/>
    </xf>
    <xf numFmtId="0" fontId="8" fillId="0" borderId="18" xfId="0" applyFont="1" applyBorder="1" applyAlignment="1" applyProtection="1">
      <alignment horizontal="center" vertical="center" wrapText="1"/>
      <protection locked="0"/>
    </xf>
    <xf numFmtId="0" fontId="8" fillId="0" borderId="21" xfId="0" applyFont="1" applyBorder="1" applyAlignment="1" applyProtection="1">
      <alignment horizontal="center" vertical="center" wrapText="1"/>
      <protection locked="0"/>
    </xf>
    <xf numFmtId="0" fontId="8" fillId="0" borderId="18" xfId="0" applyFont="1" applyBorder="1" applyAlignment="1">
      <alignment horizontal="center" vertical="center" wrapText="1"/>
    </xf>
    <xf numFmtId="0" fontId="8" fillId="0" borderId="21" xfId="0" applyFont="1" applyBorder="1" applyAlignment="1">
      <alignment horizontal="center" vertical="center" wrapText="1"/>
    </xf>
    <xf numFmtId="0" fontId="8" fillId="0" borderId="18" xfId="0" quotePrefix="1" applyFont="1" applyBorder="1" applyAlignment="1" applyProtection="1">
      <alignment horizontal="center" vertical="center" wrapText="1"/>
      <protection locked="0"/>
    </xf>
    <xf numFmtId="1" fontId="8" fillId="0" borderId="20" xfId="0" quotePrefix="1" applyNumberFormat="1" applyFont="1" applyBorder="1" applyAlignment="1" applyProtection="1">
      <alignment horizontal="center" vertical="center" wrapText="1"/>
      <protection locked="0"/>
    </xf>
    <xf numFmtId="0" fontId="8" fillId="0" borderId="21" xfId="0" applyFont="1" applyBorder="1" applyAlignment="1" applyProtection="1">
      <alignment horizontal="justify" vertical="center" wrapText="1"/>
      <protection locked="0"/>
    </xf>
    <xf numFmtId="0" fontId="2" fillId="0" borderId="1" xfId="0" applyFont="1" applyBorder="1" applyAlignment="1" applyProtection="1">
      <alignment horizontal="center" vertical="center" wrapText="1"/>
      <protection locked="0"/>
    </xf>
    <xf numFmtId="164" fontId="6" fillId="0" borderId="23" xfId="0" applyNumberFormat="1" applyFont="1" applyBorder="1" applyAlignment="1">
      <alignment horizontal="center" vertical="center"/>
    </xf>
    <xf numFmtId="0" fontId="2" fillId="0" borderId="0" xfId="0" applyFont="1" applyAlignment="1" applyProtection="1">
      <alignment horizontal="center" vertical="center"/>
      <protection hidden="1"/>
    </xf>
    <xf numFmtId="3" fontId="7" fillId="0" borderId="0" xfId="0" applyNumberFormat="1" applyFont="1" applyAlignment="1" applyProtection="1">
      <alignment horizontal="center" vertical="center" wrapText="1"/>
      <protection locked="0"/>
    </xf>
    <xf numFmtId="49" fontId="3" fillId="0" borderId="0" xfId="0" applyNumberFormat="1" applyFont="1" applyAlignment="1">
      <alignment horizontal="center" vertical="center" wrapText="1"/>
    </xf>
    <xf numFmtId="0" fontId="8" fillId="0" borderId="0" xfId="0" quotePrefix="1" applyFont="1" applyAlignment="1" applyProtection="1">
      <alignment horizontal="center" vertical="center" wrapText="1"/>
      <protection locked="0"/>
    </xf>
    <xf numFmtId="0" fontId="8" fillId="0" borderId="0" xfId="0" applyFont="1" applyAlignment="1" applyProtection="1">
      <alignment horizontal="center" vertical="center" wrapText="1"/>
      <protection locked="0"/>
    </xf>
    <xf numFmtId="1" fontId="6" fillId="0" borderId="0" xfId="1" applyNumberFormat="1" applyFont="1" applyFill="1" applyBorder="1" applyAlignment="1">
      <alignment horizontal="center" vertical="center" wrapText="1"/>
    </xf>
    <xf numFmtId="0" fontId="8" fillId="0" borderId="0" xfId="0" applyFont="1" applyAlignment="1" applyProtection="1">
      <alignment horizontal="justify" vertical="center" wrapText="1"/>
      <protection locked="0"/>
    </xf>
    <xf numFmtId="0" fontId="8" fillId="0" borderId="0" xfId="0" applyFont="1" applyAlignment="1">
      <alignment horizontal="center" vertical="center" wrapText="1"/>
    </xf>
    <xf numFmtId="0" fontId="8" fillId="0" borderId="1" xfId="0" quotePrefix="1" applyFont="1" applyBorder="1" applyAlignment="1" applyProtection="1">
      <alignment horizontal="left" vertical="center" wrapText="1"/>
      <protection locked="0"/>
    </xf>
    <xf numFmtId="0" fontId="8" fillId="0" borderId="18" xfId="0" quotePrefix="1" applyFont="1" applyBorder="1" applyAlignment="1" applyProtection="1">
      <alignment horizontal="left" vertical="center" wrapText="1"/>
      <protection locked="0"/>
    </xf>
    <xf numFmtId="0" fontId="8" fillId="0" borderId="0" xfId="0" quotePrefix="1" applyFont="1" applyAlignment="1" applyProtection="1">
      <alignment horizontal="left" vertical="center" wrapText="1"/>
      <protection locked="0"/>
    </xf>
    <xf numFmtId="0" fontId="2" fillId="8" borderId="0" xfId="0" applyFont="1" applyFill="1" applyAlignment="1" applyProtection="1">
      <alignment horizontal="left"/>
      <protection hidden="1"/>
    </xf>
    <xf numFmtId="0" fontId="2" fillId="2" borderId="0" xfId="0" applyFont="1" applyFill="1" applyAlignment="1" applyProtection="1">
      <alignment horizontal="left"/>
      <protection hidden="1"/>
    </xf>
    <xf numFmtId="42" fontId="22" fillId="6" borderId="0" xfId="0" applyNumberFormat="1" applyFont="1" applyFill="1" applyAlignment="1" applyProtection="1">
      <alignment horizontal="center" vertical="center"/>
      <protection hidden="1"/>
    </xf>
    <xf numFmtId="0" fontId="2" fillId="0" borderId="1" xfId="0" applyFont="1" applyBorder="1" applyAlignment="1" applyProtection="1">
      <alignment vertical="top" wrapText="1"/>
      <protection hidden="1"/>
    </xf>
    <xf numFmtId="164" fontId="8" fillId="0" borderId="1" xfId="0" applyNumberFormat="1" applyFont="1" applyBorder="1" applyAlignment="1">
      <alignment horizontal="center" vertical="center"/>
    </xf>
    <xf numFmtId="0" fontId="18" fillId="7" borderId="6" xfId="0" applyFont="1" applyFill="1" applyBorder="1" applyAlignment="1" applyProtection="1">
      <alignment horizontal="left" vertical="center"/>
      <protection hidden="1"/>
    </xf>
    <xf numFmtId="0" fontId="11" fillId="3" borderId="9" xfId="0" applyFont="1" applyFill="1" applyBorder="1" applyAlignment="1" applyProtection="1">
      <alignment horizontal="center" vertical="center" wrapText="1"/>
      <protection locked="0"/>
    </xf>
    <xf numFmtId="0" fontId="8" fillId="0" borderId="1" xfId="0" quotePrefix="1" applyFont="1" applyBorder="1" applyAlignment="1" applyProtection="1">
      <alignment horizontal="left" vertical="top" wrapText="1"/>
      <protection locked="0"/>
    </xf>
    <xf numFmtId="0" fontId="16" fillId="6" borderId="0" xfId="0" applyFont="1" applyFill="1" applyAlignment="1" applyProtection="1">
      <alignment horizontal="left" vertical="center"/>
      <protection hidden="1"/>
    </xf>
    <xf numFmtId="0" fontId="16" fillId="6" borderId="0" xfId="0" applyFont="1" applyFill="1" applyAlignment="1" applyProtection="1">
      <alignment horizontal="left"/>
      <protection hidden="1"/>
    </xf>
    <xf numFmtId="0" fontId="26" fillId="0" borderId="0" xfId="0" applyFont="1" applyAlignment="1" applyProtection="1">
      <alignment vertical="center"/>
      <protection hidden="1"/>
    </xf>
    <xf numFmtId="0" fontId="27" fillId="3" borderId="16" xfId="0" applyFont="1" applyFill="1" applyBorder="1" applyAlignment="1" applyProtection="1">
      <alignment horizontal="center" vertical="center" wrapText="1"/>
      <protection locked="0"/>
    </xf>
    <xf numFmtId="0" fontId="28" fillId="0" borderId="1" xfId="0" applyFont="1" applyBorder="1" applyAlignment="1" applyProtection="1">
      <alignment horizontal="center" vertical="center" wrapText="1"/>
      <protection locked="0"/>
    </xf>
    <xf numFmtId="0" fontId="28" fillId="0" borderId="0" xfId="0" applyFont="1" applyAlignment="1" applyProtection="1">
      <alignment horizontal="center" vertical="center" wrapText="1"/>
      <protection locked="0"/>
    </xf>
    <xf numFmtId="41" fontId="28" fillId="8" borderId="0" xfId="5" applyFont="1" applyFill="1" applyProtection="1">
      <protection hidden="1"/>
    </xf>
    <xf numFmtId="0" fontId="28" fillId="2" borderId="0" xfId="0" applyFont="1" applyFill="1" applyProtection="1">
      <protection hidden="1"/>
    </xf>
    <xf numFmtId="0" fontId="29" fillId="6" borderId="0" xfId="0" applyFont="1" applyFill="1" applyAlignment="1" applyProtection="1">
      <alignment horizontal="center" vertical="center"/>
      <protection hidden="1"/>
    </xf>
    <xf numFmtId="0" fontId="28" fillId="8" borderId="0" xfId="0" applyFont="1" applyFill="1" applyProtection="1">
      <protection hidden="1"/>
    </xf>
    <xf numFmtId="1" fontId="6" fillId="0" borderId="18" xfId="1" quotePrefix="1" applyNumberFormat="1" applyFont="1" applyFill="1" applyBorder="1" applyAlignment="1">
      <alignment horizontal="center" vertical="center" wrapText="1"/>
    </xf>
    <xf numFmtId="0" fontId="8" fillId="5" borderId="1" xfId="0" applyFont="1" applyFill="1" applyBorder="1" applyAlignment="1" applyProtection="1">
      <alignment horizontal="justify" vertical="center" wrapText="1"/>
      <protection locked="0"/>
    </xf>
    <xf numFmtId="0" fontId="8" fillId="5" borderId="1" xfId="0" applyFont="1" applyFill="1" applyBorder="1" applyAlignment="1">
      <alignment horizontal="center" vertical="center" wrapText="1"/>
    </xf>
    <xf numFmtId="0" fontId="5" fillId="5" borderId="0" xfId="0" applyFont="1" applyFill="1" applyAlignment="1" applyProtection="1">
      <alignment horizontal="center" vertical="center" wrapText="1"/>
      <protection locked="0"/>
    </xf>
    <xf numFmtId="164" fontId="6" fillId="5" borderId="1" xfId="0" applyNumberFormat="1" applyFont="1" applyFill="1" applyBorder="1" applyAlignment="1">
      <alignment horizontal="center" vertical="center"/>
    </xf>
    <xf numFmtId="0" fontId="2" fillId="5" borderId="1" xfId="0" applyFont="1" applyFill="1" applyBorder="1" applyAlignment="1" applyProtection="1">
      <alignment horizontal="center" vertical="center"/>
      <protection hidden="1"/>
    </xf>
    <xf numFmtId="3" fontId="7" fillId="5" borderId="1" xfId="0" applyNumberFormat="1" applyFont="1" applyFill="1" applyBorder="1" applyAlignment="1" applyProtection="1">
      <alignment horizontal="center" vertical="center" wrapText="1"/>
      <protection locked="0"/>
    </xf>
    <xf numFmtId="49" fontId="3" fillId="5" borderId="1" xfId="0" applyNumberFormat="1" applyFont="1" applyFill="1" applyBorder="1" applyAlignment="1">
      <alignment horizontal="center" vertical="center" wrapText="1"/>
    </xf>
    <xf numFmtId="0" fontId="8" fillId="5" borderId="1" xfId="0" quotePrefix="1" applyFont="1" applyFill="1" applyBorder="1" applyAlignment="1" applyProtection="1">
      <alignment horizontal="center" vertical="center" wrapText="1"/>
      <protection locked="0"/>
    </xf>
    <xf numFmtId="0" fontId="28" fillId="5" borderId="1" xfId="0" applyFont="1" applyFill="1" applyBorder="1" applyAlignment="1" applyProtection="1">
      <alignment horizontal="center" vertical="center" wrapText="1"/>
      <protection locked="0"/>
    </xf>
    <xf numFmtId="1" fontId="6" fillId="5" borderId="1" xfId="1" applyNumberFormat="1" applyFont="1" applyFill="1" applyBorder="1" applyAlignment="1">
      <alignment horizontal="center" vertical="center" wrapText="1"/>
    </xf>
    <xf numFmtId="0" fontId="8" fillId="5" borderId="1" xfId="0" quotePrefix="1" applyFont="1" applyFill="1" applyBorder="1" applyAlignment="1" applyProtection="1">
      <alignment horizontal="left" vertical="center" wrapText="1"/>
      <protection locked="0"/>
    </xf>
    <xf numFmtId="0" fontId="2" fillId="5" borderId="0" xfId="0" applyFont="1" applyFill="1" applyProtection="1">
      <protection hidden="1"/>
    </xf>
    <xf numFmtId="0" fontId="2" fillId="5" borderId="1" xfId="0" applyFont="1" applyFill="1" applyBorder="1" applyAlignment="1" applyProtection="1">
      <alignment horizontal="center" vertical="center" wrapText="1"/>
      <protection locked="0"/>
    </xf>
    <xf numFmtId="164" fontId="6" fillId="10" borderId="1" xfId="0" applyNumberFormat="1" applyFont="1" applyFill="1" applyBorder="1" applyAlignment="1">
      <alignment horizontal="center" vertical="center"/>
    </xf>
    <xf numFmtId="0" fontId="14" fillId="0" borderId="1" xfId="0" applyFont="1" applyBorder="1" applyAlignment="1" applyProtection="1">
      <alignment vertical="center"/>
      <protection hidden="1"/>
    </xf>
    <xf numFmtId="166" fontId="12" fillId="6" borderId="0" xfId="0" applyNumberFormat="1" applyFont="1" applyFill="1" applyAlignment="1" applyProtection="1">
      <alignment horizontal="center"/>
      <protection hidden="1"/>
    </xf>
    <xf numFmtId="0" fontId="33" fillId="6" borderId="0" xfId="0" applyFont="1" applyFill="1" applyProtection="1">
      <protection hidden="1"/>
    </xf>
    <xf numFmtId="0" fontId="34" fillId="0" borderId="0" xfId="0" applyFont="1"/>
    <xf numFmtId="166" fontId="16" fillId="6" borderId="0" xfId="0" applyNumberFormat="1" applyFont="1" applyFill="1" applyAlignment="1" applyProtection="1">
      <alignment horizontal="left"/>
      <protection hidden="1"/>
    </xf>
    <xf numFmtId="0" fontId="18" fillId="0" borderId="10" xfId="0" applyFont="1" applyBorder="1" applyAlignment="1" applyProtection="1">
      <alignment horizontal="center" wrapText="1"/>
      <protection locked="0"/>
    </xf>
    <xf numFmtId="0" fontId="18" fillId="0" borderId="25" xfId="0" applyFont="1" applyBorder="1" applyAlignment="1" applyProtection="1">
      <alignment horizontal="center" wrapText="1"/>
      <protection locked="0"/>
    </xf>
    <xf numFmtId="0" fontId="0" fillId="0" borderId="0" xfId="0" applyAlignment="1">
      <alignment horizontal="center"/>
    </xf>
    <xf numFmtId="166" fontId="16" fillId="6" borderId="0" xfId="0" applyNumberFormat="1" applyFont="1" applyFill="1" applyAlignment="1" applyProtection="1">
      <alignment horizontal="center"/>
      <protection hidden="1"/>
    </xf>
    <xf numFmtId="0" fontId="16" fillId="0" borderId="5" xfId="0" applyFont="1" applyBorder="1" applyAlignment="1" applyProtection="1">
      <alignment horizontal="center" vertical="center"/>
      <protection hidden="1"/>
    </xf>
    <xf numFmtId="0" fontId="18" fillId="0" borderId="34" xfId="0" applyFont="1" applyBorder="1" applyAlignment="1" applyProtection="1">
      <alignment horizontal="center" wrapText="1"/>
      <protection locked="0"/>
    </xf>
    <xf numFmtId="167" fontId="0" fillId="0" borderId="0" xfId="0" applyNumberFormat="1"/>
    <xf numFmtId="167" fontId="16" fillId="6" borderId="0" xfId="0" applyNumberFormat="1" applyFont="1" applyFill="1" applyAlignment="1" applyProtection="1">
      <alignment horizontal="left"/>
      <protection hidden="1"/>
    </xf>
    <xf numFmtId="166" fontId="12" fillId="0" borderId="0" xfId="0" applyNumberFormat="1" applyFont="1" applyAlignment="1" applyProtection="1">
      <alignment horizontal="center"/>
      <protection hidden="1"/>
    </xf>
    <xf numFmtId="166" fontId="16" fillId="0" borderId="0" xfId="0" applyNumberFormat="1" applyFont="1" applyAlignment="1" applyProtection="1">
      <alignment horizontal="center"/>
      <protection hidden="1"/>
    </xf>
    <xf numFmtId="0" fontId="18" fillId="0" borderId="35" xfId="0" applyFont="1" applyBorder="1" applyAlignment="1" applyProtection="1">
      <alignment horizontal="center" wrapText="1"/>
      <protection locked="0"/>
    </xf>
    <xf numFmtId="0" fontId="32" fillId="11" borderId="5" xfId="0" applyFont="1" applyFill="1" applyBorder="1" applyAlignment="1" applyProtection="1">
      <alignment horizontal="center" vertical="center"/>
      <protection locked="0"/>
    </xf>
    <xf numFmtId="167" fontId="32" fillId="11" borderId="40" xfId="0" applyNumberFormat="1" applyFont="1" applyFill="1" applyBorder="1" applyAlignment="1" applyProtection="1">
      <alignment horizontal="center" vertical="center" wrapText="1"/>
      <protection locked="0"/>
    </xf>
    <xf numFmtId="0" fontId="32" fillId="11" borderId="41" xfId="0" applyFont="1" applyFill="1" applyBorder="1" applyAlignment="1" applyProtection="1">
      <alignment horizontal="center" vertical="center" wrapText="1"/>
      <protection locked="0"/>
    </xf>
    <xf numFmtId="0" fontId="32" fillId="11" borderId="41" xfId="0" applyFont="1" applyFill="1" applyBorder="1" applyAlignment="1" applyProtection="1">
      <alignment horizontal="center" vertical="center"/>
      <protection locked="0"/>
    </xf>
    <xf numFmtId="0" fontId="32" fillId="11" borderId="42" xfId="0" applyFont="1" applyFill="1" applyBorder="1" applyAlignment="1" applyProtection="1">
      <alignment horizontal="center" vertical="center" wrapText="1"/>
      <protection locked="0"/>
    </xf>
    <xf numFmtId="167" fontId="35" fillId="12" borderId="24" xfId="0" applyNumberFormat="1" applyFont="1" applyFill="1" applyBorder="1" applyProtection="1">
      <protection hidden="1"/>
    </xf>
    <xf numFmtId="166" fontId="16" fillId="6" borderId="0" xfId="0" applyNumberFormat="1" applyFont="1" applyFill="1" applyAlignment="1" applyProtection="1">
      <alignment horizontal="left"/>
      <protection hidden="1"/>
    </xf>
    <xf numFmtId="0" fontId="24" fillId="0" borderId="0" xfId="0" applyFont="1" applyAlignment="1">
      <alignment horizontal="center"/>
    </xf>
    <xf numFmtId="0" fontId="0" fillId="0" borderId="0" xfId="0" applyAlignment="1">
      <alignment horizontal="center"/>
    </xf>
    <xf numFmtId="0" fontId="31" fillId="0" borderId="0" xfId="0" applyFont="1" applyAlignment="1">
      <alignment horizontal="center" vertical="center"/>
    </xf>
    <xf numFmtId="0" fontId="0" fillId="0" borderId="26" xfId="0" applyBorder="1" applyAlignment="1">
      <alignment horizontal="center"/>
    </xf>
    <xf numFmtId="0" fontId="0" fillId="0" borderId="27" xfId="0" applyBorder="1" applyAlignment="1">
      <alignment horizontal="center"/>
    </xf>
    <xf numFmtId="0" fontId="0" fillId="0" borderId="29" xfId="0"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31" fillId="0" borderId="20" xfId="0" applyFont="1" applyBorder="1" applyAlignment="1">
      <alignment horizontal="center"/>
    </xf>
    <xf numFmtId="0" fontId="31" fillId="0" borderId="21" xfId="0" applyFont="1" applyBorder="1" applyAlignment="1">
      <alignment horizontal="center"/>
    </xf>
    <xf numFmtId="0" fontId="31" fillId="0" borderId="19" xfId="0" applyFont="1" applyBorder="1" applyAlignment="1">
      <alignment horizontal="center"/>
    </xf>
    <xf numFmtId="0" fontId="0" fillId="0" borderId="28" xfId="0" applyBorder="1" applyAlignment="1">
      <alignment horizontal="center"/>
    </xf>
    <xf numFmtId="0" fontId="0" fillId="0" borderId="30" xfId="0" applyBorder="1" applyAlignment="1">
      <alignment horizontal="center"/>
    </xf>
    <xf numFmtId="0" fontId="0" fillId="0" borderId="33" xfId="0" applyBorder="1" applyAlignment="1">
      <alignment horizontal="center"/>
    </xf>
    <xf numFmtId="0" fontId="31" fillId="0" borderId="26" xfId="0" applyFont="1" applyBorder="1" applyAlignment="1">
      <alignment horizontal="center" vertical="center"/>
    </xf>
    <xf numFmtId="0" fontId="31" fillId="0" borderId="27" xfId="0" applyFont="1" applyBorder="1" applyAlignment="1">
      <alignment horizontal="center" vertical="center"/>
    </xf>
    <xf numFmtId="0" fontId="31" fillId="0" borderId="28" xfId="0" applyFont="1" applyBorder="1" applyAlignment="1">
      <alignment horizontal="center" vertical="center"/>
    </xf>
    <xf numFmtId="0" fontId="31" fillId="0" borderId="31" xfId="0" applyFont="1" applyBorder="1" applyAlignment="1">
      <alignment horizontal="center" vertical="center"/>
    </xf>
    <xf numFmtId="0" fontId="31" fillId="0" borderId="32" xfId="0" applyFont="1" applyBorder="1" applyAlignment="1">
      <alignment horizontal="center" vertical="center"/>
    </xf>
    <xf numFmtId="0" fontId="31" fillId="0" borderId="33" xfId="0" applyFont="1" applyBorder="1" applyAlignment="1">
      <alignment horizontal="center" vertical="center"/>
    </xf>
    <xf numFmtId="0" fontId="16" fillId="6" borderId="5" xfId="0" applyFont="1" applyFill="1" applyBorder="1" applyAlignment="1" applyProtection="1">
      <alignment horizontal="center" vertical="center"/>
      <protection hidden="1"/>
    </xf>
    <xf numFmtId="0" fontId="13" fillId="7" borderId="0" xfId="0" applyFont="1" applyFill="1" applyAlignment="1" applyProtection="1">
      <alignment horizontal="center" vertical="center"/>
      <protection locked="0"/>
    </xf>
    <xf numFmtId="0" fontId="13" fillId="7" borderId="5" xfId="0" applyFont="1" applyFill="1" applyBorder="1" applyAlignment="1" applyProtection="1">
      <alignment horizontal="left" vertical="center"/>
      <protection locked="0"/>
    </xf>
    <xf numFmtId="0" fontId="13" fillId="7" borderId="4" xfId="0" applyFont="1" applyFill="1" applyBorder="1" applyAlignment="1" applyProtection="1">
      <alignment horizontal="left" vertical="center"/>
      <protection locked="0"/>
    </xf>
    <xf numFmtId="0" fontId="13" fillId="7" borderId="6" xfId="0" applyFont="1" applyFill="1" applyBorder="1" applyAlignment="1" applyProtection="1">
      <alignment horizontal="left" vertical="center"/>
      <protection locked="0"/>
    </xf>
    <xf numFmtId="0" fontId="22" fillId="6" borderId="0" xfId="0" applyFont="1" applyFill="1" applyAlignment="1" applyProtection="1">
      <alignment horizontal="center"/>
      <protection hidden="1"/>
    </xf>
    <xf numFmtId="0" fontId="12" fillId="6" borderId="8" xfId="0" applyFont="1" applyFill="1" applyBorder="1" applyAlignment="1" applyProtection="1">
      <alignment horizontal="center"/>
      <protection hidden="1"/>
    </xf>
    <xf numFmtId="0" fontId="12" fillId="6" borderId="7" xfId="0" applyFont="1" applyFill="1" applyBorder="1" applyAlignment="1" applyProtection="1">
      <alignment horizontal="center"/>
      <protection hidden="1"/>
    </xf>
    <xf numFmtId="0" fontId="12" fillId="6" borderId="10" xfId="0" applyFont="1" applyFill="1" applyBorder="1" applyAlignment="1" applyProtection="1">
      <alignment horizontal="center"/>
      <protection hidden="1"/>
    </xf>
    <xf numFmtId="0" fontId="12" fillId="6" borderId="1" xfId="0" applyFont="1" applyFill="1" applyBorder="1" applyAlignment="1" applyProtection="1">
      <alignment horizontal="center"/>
      <protection hidden="1"/>
    </xf>
    <xf numFmtId="0" fontId="13" fillId="6" borderId="7" xfId="0" applyFont="1" applyFill="1" applyBorder="1" applyAlignment="1" applyProtection="1">
      <alignment horizontal="center" vertical="center" wrapText="1"/>
      <protection hidden="1"/>
    </xf>
    <xf numFmtId="0" fontId="15" fillId="0" borderId="7" xfId="0" applyFont="1" applyBorder="1" applyAlignment="1" applyProtection="1">
      <alignment horizontal="center" vertical="center"/>
      <protection hidden="1"/>
    </xf>
    <xf numFmtId="0" fontId="15" fillId="0" borderId="1" xfId="0" applyFont="1" applyBorder="1" applyAlignment="1" applyProtection="1">
      <alignment horizontal="center" vertical="center"/>
      <protection hidden="1"/>
    </xf>
    <xf numFmtId="0" fontId="16" fillId="6" borderId="1" xfId="0" applyFont="1" applyFill="1" applyBorder="1" applyAlignment="1" applyProtection="1">
      <alignment horizontal="center" vertical="center"/>
      <protection hidden="1"/>
    </xf>
    <xf numFmtId="0" fontId="19" fillId="6" borderId="5" xfId="0" applyFont="1" applyFill="1" applyBorder="1" applyAlignment="1" applyProtection="1">
      <alignment horizontal="center" vertical="center" wrapText="1"/>
      <protection hidden="1"/>
    </xf>
    <xf numFmtId="0" fontId="20" fillId="7" borderId="6" xfId="0" applyFont="1" applyFill="1" applyBorder="1" applyAlignment="1" applyProtection="1">
      <alignment horizontal="center" vertical="center" wrapText="1"/>
      <protection locked="0"/>
    </xf>
    <xf numFmtId="0" fontId="19" fillId="0" borderId="5" xfId="0" applyFont="1" applyBorder="1" applyAlignment="1" applyProtection="1">
      <alignment horizontal="center" vertical="center" wrapText="1"/>
      <protection hidden="1"/>
    </xf>
    <xf numFmtId="0" fontId="19" fillId="0" borderId="4" xfId="0" applyFont="1" applyBorder="1" applyAlignment="1" applyProtection="1">
      <alignment horizontal="center" vertical="center" wrapText="1"/>
      <protection hidden="1"/>
    </xf>
    <xf numFmtId="0" fontId="19" fillId="7" borderId="5" xfId="0" applyFont="1" applyFill="1" applyBorder="1" applyAlignment="1" applyProtection="1">
      <alignment horizontal="center" vertical="center"/>
      <protection hidden="1"/>
    </xf>
    <xf numFmtId="0" fontId="22" fillId="6" borderId="0" xfId="0" applyFont="1" applyFill="1" applyAlignment="1" applyProtection="1">
      <alignment horizontal="center" vertical="center"/>
      <protection hidden="1"/>
    </xf>
    <xf numFmtId="166" fontId="22" fillId="6" borderId="0" xfId="0" applyNumberFormat="1" applyFont="1" applyFill="1" applyAlignment="1" applyProtection="1">
      <alignment horizontal="center"/>
      <protection hidden="1"/>
    </xf>
    <xf numFmtId="0" fontId="19" fillId="7" borderId="6" xfId="0" applyFont="1" applyFill="1" applyBorder="1" applyAlignment="1" applyProtection="1">
      <alignment horizontal="center" vertical="center" wrapText="1"/>
      <protection locked="0"/>
    </xf>
    <xf numFmtId="0" fontId="37" fillId="0" borderId="38" xfId="0" applyFont="1" applyBorder="1" applyAlignment="1" applyProtection="1">
      <alignment horizontal="center" wrapText="1"/>
      <protection locked="0"/>
    </xf>
    <xf numFmtId="167" fontId="38" fillId="0" borderId="39" xfId="13" applyNumberFormat="1" applyFont="1" applyBorder="1"/>
    <xf numFmtId="49" fontId="38" fillId="0" borderId="36" xfId="0" applyNumberFormat="1" applyFont="1" applyBorder="1" applyAlignment="1">
      <alignment horizontal="center" wrapText="1"/>
    </xf>
    <xf numFmtId="0" fontId="21" fillId="0" borderId="36" xfId="0" applyFont="1" applyBorder="1" applyAlignment="1" applyProtection="1">
      <alignment horizontal="center" wrapText="1"/>
      <protection locked="0"/>
    </xf>
    <xf numFmtId="49" fontId="39" fillId="0" borderId="1" xfId="0" applyNumberFormat="1" applyFont="1" applyBorder="1" applyAlignment="1">
      <alignment horizontal="center" wrapText="1"/>
    </xf>
    <xf numFmtId="0" fontId="39" fillId="0" borderId="1" xfId="0" applyFont="1" applyBorder="1" applyAlignment="1">
      <alignment horizontal="center" wrapText="1"/>
    </xf>
    <xf numFmtId="0" fontId="7" fillId="0" borderId="36" xfId="0" applyFont="1" applyBorder="1" applyAlignment="1" applyProtection="1">
      <alignment horizontal="justify" vertical="top" wrapText="1"/>
      <protection locked="0"/>
    </xf>
    <xf numFmtId="49" fontId="38" fillId="0" borderId="1" xfId="0" applyNumberFormat="1" applyFont="1" applyBorder="1" applyAlignment="1">
      <alignment wrapText="1"/>
    </xf>
    <xf numFmtId="0" fontId="39" fillId="0" borderId="37" xfId="0" applyFont="1" applyBorder="1"/>
    <xf numFmtId="0" fontId="18" fillId="0" borderId="38" xfId="0" applyFont="1" applyBorder="1" applyAlignment="1" applyProtection="1">
      <alignment horizontal="center" vertical="center" wrapText="1"/>
      <protection locked="0"/>
    </xf>
    <xf numFmtId="167" fontId="36" fillId="0" borderId="39" xfId="13" applyNumberFormat="1" applyFont="1" applyBorder="1" applyAlignment="1">
      <alignment horizontal="center" vertical="center"/>
    </xf>
    <xf numFmtId="0" fontId="36" fillId="0" borderId="39" xfId="13" applyNumberFormat="1" applyFont="1" applyBorder="1" applyAlignment="1">
      <alignment horizontal="center" vertical="center" wrapText="1"/>
    </xf>
    <xf numFmtId="0" fontId="36" fillId="0" borderId="39" xfId="13" applyNumberFormat="1" applyFont="1" applyBorder="1" applyAlignment="1">
      <alignment horizontal="center" vertical="center"/>
    </xf>
    <xf numFmtId="167" fontId="36" fillId="0" borderId="39" xfId="13" applyNumberFormat="1" applyFont="1" applyBorder="1" applyAlignment="1">
      <alignment horizontal="right" vertical="center"/>
    </xf>
    <xf numFmtId="49" fontId="40" fillId="0" borderId="1" xfId="0" applyNumberFormat="1" applyFont="1" applyBorder="1" applyAlignment="1">
      <alignment wrapText="1"/>
    </xf>
    <xf numFmtId="49" fontId="36" fillId="0" borderId="39" xfId="13" applyNumberFormat="1" applyFont="1" applyBorder="1" applyAlignment="1">
      <alignment horizontal="center" vertical="center"/>
    </xf>
  </cellXfs>
  <cellStyles count="14">
    <cellStyle name="Millares" xfId="1" builtinId="3"/>
    <cellStyle name="Millares [0]" xfId="5" builtinId="6"/>
    <cellStyle name="Millares [0] 2" xfId="2" xr:uid="{87CDFF0D-0FF2-4A4C-8586-3496346AF907}"/>
    <cellStyle name="Millares [0] 2 2" xfId="4" xr:uid="{4163627A-0BC7-4C8B-8011-D7BC75E87EDE}"/>
    <cellStyle name="Millares [0] 2 2 2" xfId="10" xr:uid="{95844B90-4816-4C17-A899-BD82A921D75E}"/>
    <cellStyle name="Millares [0] 2 3" xfId="8" xr:uid="{7509FF25-8D7E-48CF-A54E-CF54A4595635}"/>
    <cellStyle name="Millares [0] 3" xfId="11" xr:uid="{D5133C7F-4B45-44F4-AB98-E436A8B7B435}"/>
    <cellStyle name="Millares 2" xfId="6" xr:uid="{9E330540-9773-4656-9CBC-4579C24DCA60}"/>
    <cellStyle name="Millares 2 2" xfId="12" xr:uid="{9DC80EAE-613B-48C0-BBD9-DC8CE26F1830}"/>
    <cellStyle name="Moneda" xfId="13" builtinId="4"/>
    <cellStyle name="Moneda [0] 2" xfId="3" xr:uid="{573BE9F5-3DED-40C8-B00F-275D932B177F}"/>
    <cellStyle name="Moneda [0] 2 2" xfId="9" xr:uid="{888ED1FD-5700-4F28-9B3E-877CE7F2DAEE}"/>
    <cellStyle name="Normal" xfId="0" builtinId="0"/>
    <cellStyle name="Normal 2 3" xfId="7" xr:uid="{9BB86116-F1D4-4BE3-8C73-4DAE3D8A0B55}"/>
  </cellStyles>
  <dxfs count="4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195119</xdr:colOff>
      <xdr:row>0</xdr:row>
      <xdr:rowOff>88560</xdr:rowOff>
    </xdr:from>
    <xdr:to>
      <xdr:col>16</xdr:col>
      <xdr:colOff>2927536</xdr:colOff>
      <xdr:row>2</xdr:row>
      <xdr:rowOff>3092</xdr:rowOff>
    </xdr:to>
    <xdr:pic>
      <xdr:nvPicPr>
        <xdr:cNvPr id="10" name="Imagen 3">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1"/>
        <a:stretch/>
      </xdr:blipFill>
      <xdr:spPr>
        <a:xfrm>
          <a:off x="10808690" y="88560"/>
          <a:ext cx="2732417" cy="309139"/>
        </a:xfrm>
        <a:prstGeom prst="rect">
          <a:avLst/>
        </a:prstGeom>
        <a:ln w="0">
          <a:noFill/>
        </a:ln>
      </xdr:spPr>
    </xdr:pic>
    <xdr:clientData/>
  </xdr:twoCellAnchor>
  <xdr:twoCellAnchor editAs="oneCell">
    <xdr:from>
      <xdr:col>0</xdr:col>
      <xdr:colOff>65690</xdr:colOff>
      <xdr:row>0</xdr:row>
      <xdr:rowOff>109483</xdr:rowOff>
    </xdr:from>
    <xdr:to>
      <xdr:col>1</xdr:col>
      <xdr:colOff>1278807</xdr:colOff>
      <xdr:row>3</xdr:row>
      <xdr:rowOff>67972</xdr:rowOff>
    </xdr:to>
    <xdr:pic>
      <xdr:nvPicPr>
        <xdr:cNvPr id="11" name="Imagen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2"/>
        <a:stretch>
          <a:fillRect/>
        </a:stretch>
      </xdr:blipFill>
      <xdr:spPr>
        <a:xfrm>
          <a:off x="0" y="109483"/>
          <a:ext cx="1277478" cy="388664"/>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1104900</xdr:colOff>
          <xdr:row>4</xdr:row>
          <xdr:rowOff>19050</xdr:rowOff>
        </xdr:from>
        <xdr:to>
          <xdr:col>12</xdr:col>
          <xdr:colOff>419100</xdr:colOff>
          <xdr:row>5</xdr:row>
          <xdr:rowOff>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6576" rIns="0" bIns="36576" anchor="ctr" upright="1"/>
            <a:lstStyle/>
            <a:p>
              <a:pPr algn="l" rtl="0">
                <a:defRPr sz="1000"/>
              </a:pPr>
              <a:r>
                <a:rPr lang="es-CO" sz="1100" b="0" i="0" u="none" strike="noStrike" baseline="0">
                  <a:solidFill>
                    <a:srgbClr val="000000"/>
                  </a:solidFill>
                  <a:latin typeface="Calibri"/>
                  <a:ea typeface="Calibri"/>
                  <a:cs typeface="Calibr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1041400</xdr:colOff>
          <xdr:row>3</xdr:row>
          <xdr:rowOff>57150</xdr:rowOff>
        </xdr:from>
        <xdr:to>
          <xdr:col>12</xdr:col>
          <xdr:colOff>1460500</xdr:colOff>
          <xdr:row>5</xdr:row>
          <xdr:rowOff>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1174750</xdr:colOff>
          <xdr:row>3</xdr:row>
          <xdr:rowOff>57150</xdr:rowOff>
        </xdr:from>
        <xdr:to>
          <xdr:col>14</xdr:col>
          <xdr:colOff>203200</xdr:colOff>
          <xdr:row>5</xdr:row>
          <xdr:rowOff>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273904</xdr:colOff>
      <xdr:row>0</xdr:row>
      <xdr:rowOff>202507</xdr:rowOff>
    </xdr:from>
    <xdr:to>
      <xdr:col>1</xdr:col>
      <xdr:colOff>1094175</xdr:colOff>
      <xdr:row>2</xdr:row>
      <xdr:rowOff>86366</xdr:rowOff>
    </xdr:to>
    <xdr:pic>
      <xdr:nvPicPr>
        <xdr:cNvPr id="2" name="Imagen 1">
          <a:extLst>
            <a:ext uri="{FF2B5EF4-FFF2-40B4-BE49-F238E27FC236}">
              <a16:creationId xmlns:a16="http://schemas.microsoft.com/office/drawing/2014/main" id="{BA2E4ECE-6C46-46CC-B312-1CD5C3C21B27}"/>
            </a:ext>
          </a:extLst>
        </xdr:cNvPr>
        <xdr:cNvPicPr/>
      </xdr:nvPicPr>
      <xdr:blipFill>
        <a:blip xmlns:r="http://schemas.openxmlformats.org/officeDocument/2006/relationships" r:embed="rId1"/>
        <a:stretch/>
      </xdr:blipFill>
      <xdr:spPr>
        <a:xfrm>
          <a:off x="273904" y="202507"/>
          <a:ext cx="1582271" cy="360109"/>
        </a:xfrm>
        <a:prstGeom prst="rect">
          <a:avLst/>
        </a:prstGeom>
        <a:ln w="0">
          <a:noFill/>
        </a:ln>
      </xdr:spPr>
    </xdr:pic>
    <xdr:clientData/>
  </xdr:twoCellAnchor>
  <xdr:twoCellAnchor editAs="oneCell">
    <xdr:from>
      <xdr:col>9</xdr:col>
      <xdr:colOff>266700</xdr:colOff>
      <xdr:row>0</xdr:row>
      <xdr:rowOff>163285</xdr:rowOff>
    </xdr:from>
    <xdr:to>
      <xdr:col>9</xdr:col>
      <xdr:colOff>1980139</xdr:colOff>
      <xdr:row>2</xdr:row>
      <xdr:rowOff>16328</xdr:rowOff>
    </xdr:to>
    <xdr:pic>
      <xdr:nvPicPr>
        <xdr:cNvPr id="3" name="Imagen 2">
          <a:extLst>
            <a:ext uri="{FF2B5EF4-FFF2-40B4-BE49-F238E27FC236}">
              <a16:creationId xmlns:a16="http://schemas.microsoft.com/office/drawing/2014/main" id="{C40E5E6C-D38C-4FF8-A383-9B7F841DF80E}"/>
            </a:ext>
          </a:extLst>
        </xdr:cNvPr>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31139" b="30762"/>
        <a:stretch/>
      </xdr:blipFill>
      <xdr:spPr bwMode="auto">
        <a:xfrm>
          <a:off x="14592300" y="163285"/>
          <a:ext cx="1714497" cy="329293"/>
        </a:xfrm>
        <a:prstGeom prst="rect">
          <a:avLst/>
        </a:prstGeom>
        <a:ln>
          <a:noFill/>
        </a:ln>
        <a:extLst>
          <a:ext uri="{53640926-AAD7-44D8-BBD7-CCE9431645EC}">
            <a14:shadowObscured xmlns:a14="http://schemas.microsoft.com/office/drawing/2010/main"/>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16</xdr:col>
      <xdr:colOff>195119</xdr:colOff>
      <xdr:row>0</xdr:row>
      <xdr:rowOff>88560</xdr:rowOff>
    </xdr:from>
    <xdr:to>
      <xdr:col>16</xdr:col>
      <xdr:colOff>2927536</xdr:colOff>
      <xdr:row>2</xdr:row>
      <xdr:rowOff>3092</xdr:rowOff>
    </xdr:to>
    <xdr:pic>
      <xdr:nvPicPr>
        <xdr:cNvPr id="2" name="Imagen 3">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tretch/>
      </xdr:blipFill>
      <xdr:spPr>
        <a:xfrm>
          <a:off x="10948844" y="88560"/>
          <a:ext cx="2732417" cy="305057"/>
        </a:xfrm>
        <a:prstGeom prst="rect">
          <a:avLst/>
        </a:prstGeom>
        <a:ln w="0">
          <a:noFill/>
        </a:ln>
      </xdr:spPr>
    </xdr:pic>
    <xdr:clientData/>
  </xdr:twoCellAnchor>
  <xdr:twoCellAnchor editAs="oneCell">
    <xdr:from>
      <xdr:col>0</xdr:col>
      <xdr:colOff>65690</xdr:colOff>
      <xdr:row>0</xdr:row>
      <xdr:rowOff>109483</xdr:rowOff>
    </xdr:from>
    <xdr:to>
      <xdr:col>1</xdr:col>
      <xdr:colOff>1278807</xdr:colOff>
      <xdr:row>3</xdr:row>
      <xdr:rowOff>67972</xdr:rowOff>
    </xdr:to>
    <xdr:pic>
      <xdr:nvPicPr>
        <xdr:cNvPr id="3" name="Imagen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0" y="109483"/>
          <a:ext cx="1278807" cy="444264"/>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1104900</xdr:colOff>
          <xdr:row>4</xdr:row>
          <xdr:rowOff>19050</xdr:rowOff>
        </xdr:from>
        <xdr:to>
          <xdr:col>12</xdr:col>
          <xdr:colOff>419100</xdr:colOff>
          <xdr:row>5</xdr:row>
          <xdr:rowOff>0</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00000000-0008-0000-03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6576" rIns="0" bIns="36576" anchor="ctr" upright="1"/>
            <a:lstStyle/>
            <a:p>
              <a:pPr algn="l" rtl="0">
                <a:defRPr sz="1000"/>
              </a:pPr>
              <a:r>
                <a:rPr lang="es-CO" sz="1100" b="0" i="0" u="none" strike="noStrike" baseline="0">
                  <a:solidFill>
                    <a:srgbClr val="000000"/>
                  </a:solidFill>
                  <a:latin typeface="Calibri"/>
                  <a:ea typeface="Calibri"/>
                  <a:cs typeface="Calibr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1041400</xdr:colOff>
          <xdr:row>3</xdr:row>
          <xdr:rowOff>57150</xdr:rowOff>
        </xdr:from>
        <xdr:to>
          <xdr:col>12</xdr:col>
          <xdr:colOff>1460500</xdr:colOff>
          <xdr:row>5</xdr:row>
          <xdr:rowOff>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3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1174750</xdr:colOff>
          <xdr:row>3</xdr:row>
          <xdr:rowOff>57150</xdr:rowOff>
        </xdr:from>
        <xdr:to>
          <xdr:col>14</xdr:col>
          <xdr:colOff>203200</xdr:colOff>
          <xdr:row>5</xdr:row>
          <xdr:rowOff>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300-00000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192.168.2.20\Contabilidad\10.%20Vanessa%20Ruiz\PROVEEDORES\PROGRAMACION%20DE%20PAGOS%202024\4.%20ABRIL\3.%20PROGRAMACION%20AL%2019%20DE%20ABRIL%20TRANSFERENCIA.xlsx" TargetMode="External"/><Relationship Id="rId1" Type="http://schemas.openxmlformats.org/officeDocument/2006/relationships/externalLinkPath" Target="file:///\\192.168.2.20\Contabilidad\10.%20Vanessa%20Ruiz\PROVEEDORES\PROGRAMACION%20DE%20PAGOS%202024\4.%20ABRIL\3.%20PROGRAMACION%20AL%2019%20DE%20ABRIL%20TRANSFERENCI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GFI-03 "/>
      <sheetName val="FO-GFI-03  ultima"/>
      <sheetName val="CTAS BANCARIAS"/>
      <sheetName val="TERCEROS"/>
      <sheetName val="Hoja1"/>
      <sheetName val="Hoja2"/>
    </sheetNames>
    <sheetDataSet>
      <sheetData sheetId="0"/>
      <sheetData sheetId="1"/>
      <sheetData sheetId="2">
        <row r="1">
          <cell r="A1" t="str">
            <v>NIT</v>
          </cell>
          <cell r="B1" t="str">
            <v>VINCULADO</v>
          </cell>
          <cell r="C1" t="str">
            <v>BANCO</v>
          </cell>
          <cell r="D1" t="str">
            <v>TIPO</v>
          </cell>
          <cell r="E1" t="str">
            <v>CUENTA</v>
          </cell>
        </row>
        <row r="2">
          <cell r="A2">
            <v>901182187</v>
          </cell>
          <cell r="B2" t="str">
            <v>AEROPACIFIC EXPRESS S.A.S.</v>
          </cell>
          <cell r="C2" t="str">
            <v>BANCOLOMBIA</v>
          </cell>
          <cell r="D2" t="str">
            <v>CORRIENTE</v>
          </cell>
          <cell r="E2" t="str">
            <v>75204110348</v>
          </cell>
        </row>
        <row r="3">
          <cell r="A3">
            <v>890306752</v>
          </cell>
          <cell r="B3" t="str">
            <v>AGROMOTORES LTDA</v>
          </cell>
          <cell r="C3" t="str">
            <v>BANCOLOMBIA</v>
          </cell>
          <cell r="D3" t="str">
            <v>CORRIENTE</v>
          </cell>
          <cell r="E3" t="str">
            <v>83692305473</v>
          </cell>
        </row>
        <row r="4">
          <cell r="A4">
            <v>10306883</v>
          </cell>
          <cell r="B4" t="str">
            <v>ALARCON FLORES CARLOS ALBERTO</v>
          </cell>
          <cell r="C4" t="str">
            <v>DAVIVIENDA</v>
          </cell>
          <cell r="D4" t="str">
            <v>CORRIENTE</v>
          </cell>
          <cell r="E4" t="str">
            <v>0560197060011255</v>
          </cell>
        </row>
        <row r="5">
          <cell r="A5">
            <v>1144102372</v>
          </cell>
          <cell r="B5" t="str">
            <v>ALBAN JULIO VALERIA</v>
          </cell>
          <cell r="C5" t="str">
            <v>BBVA</v>
          </cell>
          <cell r="D5" t="str">
            <v>AHORROS</v>
          </cell>
          <cell r="E5" t="str">
            <v>616087904</v>
          </cell>
        </row>
        <row r="6">
          <cell r="A6">
            <v>901002398</v>
          </cell>
          <cell r="B6" t="str">
            <v>ALEJANDRO ZU?IGA BOLIVAR ABOGADOS SAS</v>
          </cell>
          <cell r="C6" t="str">
            <v>BANCOLOMBIA</v>
          </cell>
          <cell r="D6" t="str">
            <v>AHORROS</v>
          </cell>
          <cell r="E6" t="str">
            <v>26100011114</v>
          </cell>
        </row>
        <row r="7">
          <cell r="A7">
            <v>817007264</v>
          </cell>
          <cell r="B7" t="str">
            <v>ALIANZA EMPRESARIAL DEL CAUCA SA</v>
          </cell>
          <cell r="C7" t="str">
            <v>OCCIDENTE</v>
          </cell>
          <cell r="D7" t="str">
            <v>CORRIENTE</v>
          </cell>
          <cell r="E7" t="str">
            <v>041095712</v>
          </cell>
        </row>
        <row r="8">
          <cell r="A8">
            <v>860500480</v>
          </cell>
          <cell r="B8" t="str">
            <v>ALMACENES CORONA S.A.S.</v>
          </cell>
          <cell r="C8" t="str">
            <v>BANCOLOMBIA</v>
          </cell>
          <cell r="D8" t="str">
            <v>CORRIENTE</v>
          </cell>
          <cell r="E8" t="str">
            <v>07700933327</v>
          </cell>
        </row>
        <row r="9">
          <cell r="A9">
            <v>901329475</v>
          </cell>
          <cell r="B9" t="str">
            <v>AQ REDES Y TELECOMUNICACIONES S.A.S.</v>
          </cell>
          <cell r="C9" t="str">
            <v>BANCOLOMBIA</v>
          </cell>
          <cell r="D9" t="str">
            <v>AHORROS</v>
          </cell>
          <cell r="E9" t="str">
            <v>62104236788</v>
          </cell>
        </row>
        <row r="10">
          <cell r="A10">
            <v>1061750154</v>
          </cell>
          <cell r="B10" t="str">
            <v>AROCA BERMUDEZ YULIETH XIMENA</v>
          </cell>
          <cell r="C10" t="str">
            <v>BANCOLOMBIA</v>
          </cell>
          <cell r="D10" t="str">
            <v>AHORROS</v>
          </cell>
          <cell r="E10" t="str">
            <v>24291596483</v>
          </cell>
        </row>
        <row r="11">
          <cell r="A11">
            <v>890304049</v>
          </cell>
          <cell r="B11" t="str">
            <v>ARQUIDIOCESIS DE CALI</v>
          </cell>
          <cell r="C11" t="str">
            <v>BANCOLOMBIA</v>
          </cell>
          <cell r="D11" t="str">
            <v>CORRIENTE</v>
          </cell>
          <cell r="E11" t="str">
            <v>75295167768</v>
          </cell>
        </row>
        <row r="12">
          <cell r="A12">
            <v>900748143</v>
          </cell>
          <cell r="B12" t="str">
            <v>ASESORES DE RECLUTAMIENTO COLOMBIA S.A.S</v>
          </cell>
          <cell r="C12" t="str">
            <v>BANCOLOMBIA</v>
          </cell>
          <cell r="D12" t="str">
            <v>CORRIENTE</v>
          </cell>
          <cell r="E12" t="str">
            <v>05256000134</v>
          </cell>
        </row>
        <row r="13">
          <cell r="A13">
            <v>900929617</v>
          </cell>
          <cell r="B13" t="str">
            <v>AUTOMOTORES EL INGENIO SAS</v>
          </cell>
          <cell r="C13" t="str">
            <v>BANCOLOMBIA</v>
          </cell>
          <cell r="D13" t="str">
            <v>CORRIENTE</v>
          </cell>
          <cell r="E13" t="str">
            <v>86854775650</v>
          </cell>
        </row>
        <row r="14">
          <cell r="A14">
            <v>890327282</v>
          </cell>
          <cell r="B14" t="str">
            <v>AUTOPACIFICO SA</v>
          </cell>
          <cell r="C14" t="str">
            <v>BANCOLOMBIA</v>
          </cell>
          <cell r="D14" t="str">
            <v>CORRIENTE</v>
          </cell>
          <cell r="E14" t="str">
            <v>80479800337</v>
          </cell>
        </row>
        <row r="15">
          <cell r="A15">
            <v>900908078</v>
          </cell>
          <cell r="B15" t="str">
            <v>AVILA Y MERINO ABOGADOS SAS</v>
          </cell>
          <cell r="C15" t="str">
            <v>BANCOLOMBIA</v>
          </cell>
          <cell r="D15" t="str">
            <v>AHORROS</v>
          </cell>
          <cell r="E15" t="str">
            <v>82150921500</v>
          </cell>
        </row>
        <row r="16">
          <cell r="A16">
            <v>901393140</v>
          </cell>
          <cell r="B16" t="str">
            <v>AVISARTEQ SAS</v>
          </cell>
          <cell r="C16" t="str">
            <v>AV VILLAS</v>
          </cell>
          <cell r="D16" t="str">
            <v>AHORROS</v>
          </cell>
          <cell r="E16" t="str">
            <v>119115608</v>
          </cell>
        </row>
        <row r="17">
          <cell r="A17">
            <v>830015727</v>
          </cell>
          <cell r="B17" t="str">
            <v>AXESNET S A S</v>
          </cell>
          <cell r="C17" t="str">
            <v>BANCOLOMBIA</v>
          </cell>
          <cell r="D17" t="str">
            <v>AHORROS</v>
          </cell>
          <cell r="E17" t="str">
            <v>16700725409</v>
          </cell>
        </row>
        <row r="18">
          <cell r="A18">
            <v>10489288</v>
          </cell>
          <cell r="B18" t="str">
            <v>BELTRAN  MONTENEGRO  HAROLD ANDRES</v>
          </cell>
          <cell r="C18" t="str">
            <v>OCCIDENTE</v>
          </cell>
          <cell r="D18" t="str">
            <v>AHORROS</v>
          </cell>
          <cell r="E18" t="str">
            <v>043846914</v>
          </cell>
        </row>
        <row r="19">
          <cell r="A19">
            <v>900123432</v>
          </cell>
          <cell r="B19" t="str">
            <v>BINAPS COLOMBIA S.A.S</v>
          </cell>
          <cell r="C19" t="str">
            <v>BOGOTA</v>
          </cell>
          <cell r="D19" t="str">
            <v>CORRIENTE</v>
          </cell>
          <cell r="E19" t="str">
            <v>146340120</v>
          </cell>
        </row>
        <row r="20">
          <cell r="A20">
            <v>800119008</v>
          </cell>
          <cell r="B20" t="str">
            <v>BINGO SOCIAL SOCIEDAD POR ACCIONES SIMPLIFICADA</v>
          </cell>
          <cell r="C20" t="str">
            <v>OCCIDENTE</v>
          </cell>
          <cell r="D20" t="str">
            <v>CORRIENTE</v>
          </cell>
          <cell r="E20" t="str">
            <v>019039981</v>
          </cell>
        </row>
        <row r="21">
          <cell r="A21">
            <v>899999061</v>
          </cell>
          <cell r="B21" t="str">
            <v>BOGOTA DISTRITO CAPITAL</v>
          </cell>
          <cell r="C21"/>
          <cell r="D21"/>
          <cell r="E21"/>
        </row>
        <row r="22">
          <cell r="A22">
            <v>16749749</v>
          </cell>
          <cell r="B22" t="str">
            <v xml:space="preserve">BOLANOS ORDONEZ ROBERT HUMBERTO                                                                     </v>
          </cell>
          <cell r="C22" t="str">
            <v>BANCOLOMBIA</v>
          </cell>
          <cell r="D22" t="str">
            <v>AHORROS</v>
          </cell>
          <cell r="E22" t="str">
            <v>38134253905</v>
          </cell>
        </row>
        <row r="23">
          <cell r="A23">
            <v>1061777520</v>
          </cell>
          <cell r="B23" t="str">
            <v xml:space="preserve">BOLA?OS CIFUENTES KEVIN ALEXANDER                                                                   </v>
          </cell>
          <cell r="C23" t="str">
            <v>BANCOLOMBIA</v>
          </cell>
          <cell r="D23" t="str">
            <v>AHORROS</v>
          </cell>
          <cell r="E23" t="str">
            <v>03156672212</v>
          </cell>
        </row>
        <row r="24">
          <cell r="A24">
            <v>901130328</v>
          </cell>
          <cell r="B24" t="str">
            <v>BROKERSOFT S.A.S</v>
          </cell>
          <cell r="C24" t="str">
            <v>BANCOOMEVA</v>
          </cell>
          <cell r="D24" t="str">
            <v>CORRIENTE</v>
          </cell>
          <cell r="E24" t="str">
            <v>011500542506</v>
          </cell>
        </row>
        <row r="25">
          <cell r="A25">
            <v>76320567</v>
          </cell>
          <cell r="B25" t="str">
            <v>CADAVID MOSQUERA JHON JAIRO</v>
          </cell>
          <cell r="C25" t="str">
            <v>DAVIVIENDA</v>
          </cell>
          <cell r="D25" t="str">
            <v>AHORROS</v>
          </cell>
          <cell r="E25" t="str">
            <v>196070316530</v>
          </cell>
        </row>
        <row r="26">
          <cell r="A26">
            <v>900116008</v>
          </cell>
          <cell r="B26" t="str">
            <v>CADENA Y CADENA SAS</v>
          </cell>
          <cell r="C26" t="str">
            <v>BANCOLOMBIA</v>
          </cell>
          <cell r="D26" t="str">
            <v>CORRIENTE</v>
          </cell>
          <cell r="E26" t="str">
            <v>88029193864</v>
          </cell>
        </row>
        <row r="27">
          <cell r="A27">
            <v>891500182</v>
          </cell>
          <cell r="B27" t="str">
            <v>CAJA DE COMPENSACION FAMILIAR DEL CAUCA</v>
          </cell>
          <cell r="C27" t="str">
            <v>BANCOLOMBIA</v>
          </cell>
          <cell r="D27" t="str">
            <v>AHORROS</v>
          </cell>
          <cell r="E27" t="str">
            <v>86800000943</v>
          </cell>
        </row>
        <row r="28">
          <cell r="A28">
            <v>900375592</v>
          </cell>
          <cell r="B28" t="str">
            <v>CAJAS FUERTES LIZ SAFE S.A.S</v>
          </cell>
          <cell r="C28" t="str">
            <v>BBVA</v>
          </cell>
          <cell r="D28" t="str">
            <v>CORRIENTE</v>
          </cell>
          <cell r="E28" t="str">
            <v>00130813000100024247</v>
          </cell>
        </row>
        <row r="29">
          <cell r="A29">
            <v>2605075</v>
          </cell>
          <cell r="B29" t="str">
            <v xml:space="preserve">CAMARGO BERRIO SERGIO                                                </v>
          </cell>
          <cell r="C29" t="str">
            <v>BANCOLOMBIA</v>
          </cell>
          <cell r="D29" t="str">
            <v>AHORROS</v>
          </cell>
          <cell r="E29" t="str">
            <v>18563247360</v>
          </cell>
        </row>
        <row r="30">
          <cell r="A30">
            <v>76310810</v>
          </cell>
          <cell r="B30" t="str">
            <v xml:space="preserve">CAMILIO ARROYO ALEX IVAN                                                                            </v>
          </cell>
          <cell r="C30" t="str">
            <v>CAJA SOCIAL</v>
          </cell>
          <cell r="D30" t="str">
            <v>AHORROS</v>
          </cell>
          <cell r="E30" t="str">
            <v>24043774498</v>
          </cell>
        </row>
        <row r="31">
          <cell r="A31">
            <v>34550395</v>
          </cell>
          <cell r="B31" t="str">
            <v>CAMPO MARTHA LUCIA / TECHNO ALARMA</v>
          </cell>
          <cell r="C31" t="str">
            <v>OCCIDENTE</v>
          </cell>
          <cell r="D31" t="str">
            <v>CORRIENTE</v>
          </cell>
          <cell r="E31" t="str">
            <v>057003899</v>
          </cell>
        </row>
        <row r="32">
          <cell r="A32">
            <v>860014923</v>
          </cell>
          <cell r="B32" t="str">
            <v>CARACOL PRIMERA CADENA RADIAL COLOMBIANA</v>
          </cell>
          <cell r="C32" t="str">
            <v>BOGOTA</v>
          </cell>
          <cell r="D32" t="str">
            <v>CORRIENTE</v>
          </cell>
          <cell r="E32" t="str">
            <v>009085291</v>
          </cell>
        </row>
        <row r="33">
          <cell r="A33">
            <v>1130680921</v>
          </cell>
          <cell r="B33" t="str">
            <v xml:space="preserve">CHALA FREIRE VANESSA                                                                                </v>
          </cell>
          <cell r="C33" t="str">
            <v>BANCOLOMBIA</v>
          </cell>
          <cell r="D33" t="str">
            <v>AHORROS</v>
          </cell>
          <cell r="E33" t="str">
            <v>82989157988</v>
          </cell>
        </row>
        <row r="34">
          <cell r="A34">
            <v>94503395</v>
          </cell>
          <cell r="B34" t="str">
            <v>ESCOBAR CAMACHO CARLOS MAURICIO</v>
          </cell>
          <cell r="C34" t="str">
            <v>BANCOLOMBIA</v>
          </cell>
          <cell r="D34" t="str">
            <v>AHORROS</v>
          </cell>
          <cell r="E34" t="str">
            <v>51415461236</v>
          </cell>
        </row>
        <row r="35">
          <cell r="A35">
            <v>94230267</v>
          </cell>
          <cell r="B35" t="str">
            <v>CASTA?EDA  AGUDELO  EDUAR ENRIQUE</v>
          </cell>
          <cell r="C35" t="str">
            <v>OCCIDENTE</v>
          </cell>
          <cell r="D35" t="str">
            <v>CORRIENTE</v>
          </cell>
          <cell r="E35" t="str">
            <v>097001531</v>
          </cell>
        </row>
        <row r="36">
          <cell r="A36">
            <v>94230267</v>
          </cell>
          <cell r="B36" t="str">
            <v>CASTA?EDA  AGUDELO  EDUAR ENRIQUE</v>
          </cell>
          <cell r="C36" t="str">
            <v>OCCIDENTE</v>
          </cell>
          <cell r="D36" t="str">
            <v>CORRIENTE</v>
          </cell>
          <cell r="E36" t="str">
            <v>097001531</v>
          </cell>
        </row>
        <row r="37">
          <cell r="A37">
            <v>76315331</v>
          </cell>
          <cell r="B37" t="str">
            <v>CASTILLO BOLAÑOS FABIAN ALONSO</v>
          </cell>
          <cell r="C37" t="str">
            <v>BANCOLOMBIA</v>
          </cell>
          <cell r="D37" t="str">
            <v>AHORROS</v>
          </cell>
          <cell r="E37" t="str">
            <v>24276688177</v>
          </cell>
        </row>
        <row r="38">
          <cell r="A38">
            <v>6202729</v>
          </cell>
          <cell r="B38" t="str">
            <v>CASTRILLON LOPEZ JOSE DARIO</v>
          </cell>
          <cell r="C38" t="str">
            <v>AGRARIO</v>
          </cell>
          <cell r="D38" t="str">
            <v>CORRIENTE</v>
          </cell>
          <cell r="E38" t="str">
            <v>321250000528</v>
          </cell>
        </row>
        <row r="39">
          <cell r="A39">
            <v>830512127</v>
          </cell>
          <cell r="B39" t="str">
            <v>CENTINELA DE OCCIDENTE LTDA</v>
          </cell>
          <cell r="C39" t="str">
            <v>DAVIVIENDA</v>
          </cell>
          <cell r="D39" t="str">
            <v>CORRIENTE</v>
          </cell>
          <cell r="E39" t="str">
            <v>197069997827</v>
          </cell>
        </row>
        <row r="40">
          <cell r="A40">
            <v>900083863</v>
          </cell>
          <cell r="B40" t="str">
            <v>CENTRAL DE LECHERA DE MANIZALES</v>
          </cell>
          <cell r="C40" t="str">
            <v>DAVIVIENDA</v>
          </cell>
          <cell r="D40" t="str">
            <v>CORRIENTE</v>
          </cell>
          <cell r="E40" t="str">
            <v>255016149</v>
          </cell>
        </row>
        <row r="41">
          <cell r="A41">
            <v>900438237</v>
          </cell>
          <cell r="B41" t="str">
            <v>CENTRICA HABILIDAD OBJETIVA S.A.S. / ADAM MILO COLOMBIA S.A.S.</v>
          </cell>
          <cell r="C41" t="str">
            <v>OCCIDENTE</v>
          </cell>
          <cell r="D41" t="str">
            <v>CORRIENTE</v>
          </cell>
          <cell r="E41" t="str">
            <v>013095435</v>
          </cell>
        </row>
        <row r="42">
          <cell r="A42">
            <v>10529419</v>
          </cell>
          <cell r="B42" t="str">
            <v>CERON MU?OZ FABIO ALBERTO</v>
          </cell>
          <cell r="C42" t="str">
            <v>BANCOLOMBIA</v>
          </cell>
          <cell r="D42" t="str">
            <v>AHORROS</v>
          </cell>
          <cell r="E42" t="str">
            <v>24299898349</v>
          </cell>
        </row>
        <row r="43">
          <cell r="A43">
            <v>5227870</v>
          </cell>
          <cell r="B43" t="str">
            <v>CHAVES LOPEZ MANUEL ANTONIO</v>
          </cell>
          <cell r="C43" t="str">
            <v>BANCOLOMBIA</v>
          </cell>
          <cell r="D43" t="str">
            <v>AHORROS</v>
          </cell>
          <cell r="E43" t="str">
            <v>93700000526</v>
          </cell>
        </row>
        <row r="44">
          <cell r="A44">
            <v>31972401</v>
          </cell>
          <cell r="B44" t="str">
            <v>CHAVEZ REYES JULIETA</v>
          </cell>
          <cell r="C44" t="str">
            <v>BANCOLOMBIA</v>
          </cell>
          <cell r="D44" t="str">
            <v>AHORROS</v>
          </cell>
          <cell r="E44" t="str">
            <v>74100067700</v>
          </cell>
        </row>
        <row r="45">
          <cell r="A45">
            <v>890321156</v>
          </cell>
          <cell r="B45" t="str">
            <v>CIUDADELA COMERCIAL UNICENTRO CALI - PRO</v>
          </cell>
          <cell r="C45" t="str">
            <v>BANCOLOMBIA</v>
          </cell>
          <cell r="D45" t="str">
            <v>CORRIENTE</v>
          </cell>
          <cell r="E45" t="str">
            <v>82906762791</v>
          </cell>
        </row>
        <row r="46">
          <cell r="A46">
            <v>900242591</v>
          </cell>
          <cell r="B46" t="str">
            <v>COLOMBIA SOLUTIONS SAS</v>
          </cell>
          <cell r="C46" t="str">
            <v>BANCOLOMBIA</v>
          </cell>
          <cell r="D46" t="str">
            <v>CORRIENTE</v>
          </cell>
          <cell r="E46" t="str">
            <v>80768267561</v>
          </cell>
        </row>
        <row r="47">
          <cell r="A47">
            <v>830122566</v>
          </cell>
          <cell r="B47" t="str">
            <v>COLOMBIA TELECOMUNICACIONES S.A. E.S.P.</v>
          </cell>
          <cell r="C47" t="str">
            <v>ITAU</v>
          </cell>
          <cell r="D47" t="str">
            <v>CORRIENTE</v>
          </cell>
          <cell r="E47" t="str">
            <v>029011772</v>
          </cell>
        </row>
        <row r="48">
          <cell r="A48">
            <v>900835976</v>
          </cell>
          <cell r="B48" t="str">
            <v>COMERCIALIZADORA INNOVA SPORT S A S</v>
          </cell>
          <cell r="C48" t="str">
            <v>DAVIVIENDA</v>
          </cell>
          <cell r="D48" t="str">
            <v>CORRIENTE</v>
          </cell>
          <cell r="E48" t="str">
            <v>018269998805</v>
          </cell>
        </row>
        <row r="49">
          <cell r="A49">
            <v>900472321</v>
          </cell>
          <cell r="B49" t="str">
            <v>COMERCIALIZADORA VERONICA TAPIA SAS</v>
          </cell>
          <cell r="C49" t="str">
            <v>BANCOLOMBIA</v>
          </cell>
          <cell r="D49" t="str">
            <v>CORRIENTE</v>
          </cell>
          <cell r="E49" t="str">
            <v>83726485070</v>
          </cell>
        </row>
        <row r="50">
          <cell r="A50">
            <v>860037013</v>
          </cell>
          <cell r="B50" t="str">
            <v>COMPAÑIA MUNDIAL DE SEGUROS S.A.</v>
          </cell>
          <cell r="C50" t="str">
            <v>BANCOLOMBIA</v>
          </cell>
          <cell r="D50" t="str">
            <v>CORRIENTE</v>
          </cell>
          <cell r="E50" t="str">
            <v>03106729527</v>
          </cell>
        </row>
        <row r="51">
          <cell r="A51">
            <v>900235806</v>
          </cell>
          <cell r="B51" t="str">
            <v xml:space="preserve">COMPANIA INTERNATIONALE ENTERPRISE S.A.S                                                            </v>
          </cell>
          <cell r="C51" t="str">
            <v>BANCOLOMBIA</v>
          </cell>
          <cell r="D51" t="str">
            <v>AHORROS</v>
          </cell>
          <cell r="E51" t="str">
            <v>82969759850</v>
          </cell>
        </row>
        <row r="52">
          <cell r="A52">
            <v>900366010</v>
          </cell>
          <cell r="B52" t="str">
            <v>COMPANIA ENERGETICA DE OCCIDENTE SAS</v>
          </cell>
          <cell r="C52" t="str">
            <v>OCCIDENTE</v>
          </cell>
          <cell r="D52" t="str">
            <v>CORRIENTE</v>
          </cell>
          <cell r="E52" t="str">
            <v>041110164</v>
          </cell>
        </row>
        <row r="53">
          <cell r="A53">
            <v>800141481</v>
          </cell>
          <cell r="B53" t="str">
            <v>CONFECCIONES MEICY SAS</v>
          </cell>
          <cell r="C53" t="str">
            <v>BOGOTA</v>
          </cell>
          <cell r="D53" t="str">
            <v>CORRIENTE</v>
          </cell>
          <cell r="E53" t="str">
            <v>486067325</v>
          </cell>
        </row>
        <row r="54">
          <cell r="A54">
            <v>901450240</v>
          </cell>
          <cell r="B54" t="str">
            <v xml:space="preserve">CREADORES DE VALOR S.A.S                                                                            </v>
          </cell>
          <cell r="C54" t="str">
            <v>BANCOLOMBIA</v>
          </cell>
          <cell r="D54" t="str">
            <v>AHORROS</v>
          </cell>
          <cell r="E54" t="str">
            <v>06600002440</v>
          </cell>
        </row>
        <row r="55">
          <cell r="A55">
            <v>860003020</v>
          </cell>
          <cell r="B55" t="e">
            <v>#N/A</v>
          </cell>
          <cell r="C55" t="str">
            <v>BBVA</v>
          </cell>
          <cell r="D55" t="str">
            <v>AHORROS</v>
          </cell>
          <cell r="E55" t="str">
            <v>570344069</v>
          </cell>
        </row>
        <row r="56">
          <cell r="A56">
            <v>817004921</v>
          </cell>
          <cell r="B56" t="str">
            <v>CUERPO DE BOMBEROS VOLUNTARIOS DE TIMBIO</v>
          </cell>
          <cell r="C56" t="str">
            <v>AGRARIO</v>
          </cell>
          <cell r="D56" t="str">
            <v>AHORROS</v>
          </cell>
          <cell r="E56" t="str">
            <v>469170008871</v>
          </cell>
        </row>
        <row r="57">
          <cell r="A57">
            <v>900297803</v>
          </cell>
          <cell r="B57" t="str">
            <v>DATA DIGITAL S.A.S.</v>
          </cell>
          <cell r="C57" t="str">
            <v>BANCOLOMBIA</v>
          </cell>
          <cell r="D57" t="str">
            <v>CORRIENTE</v>
          </cell>
          <cell r="E57" t="str">
            <v>51452317137</v>
          </cell>
        </row>
        <row r="58">
          <cell r="A58">
            <v>16793845</v>
          </cell>
          <cell r="B58" t="str">
            <v>DAVILA  CANDELO  LUIS FERNANDO</v>
          </cell>
          <cell r="C58" t="str">
            <v>DAVIVIENDA</v>
          </cell>
          <cell r="D58" t="str">
            <v>CORRIENTE</v>
          </cell>
          <cell r="E58" t="str">
            <v>0560016660004884</v>
          </cell>
        </row>
        <row r="59">
          <cell r="A59">
            <v>1061689394</v>
          </cell>
          <cell r="B59" t="str">
            <v>DAZA MARIN EDWARD FERNANDO</v>
          </cell>
          <cell r="C59" t="str">
            <v>BANCOLOMBIA</v>
          </cell>
          <cell r="D59" t="str">
            <v>AHORROS</v>
          </cell>
          <cell r="E59" t="str">
            <v>26173854845</v>
          </cell>
        </row>
        <row r="60">
          <cell r="A60">
            <v>94481115</v>
          </cell>
          <cell r="B60" t="str">
            <v>DELGADO ALVARADO ALEXANDER EFREN</v>
          </cell>
          <cell r="C60" t="str">
            <v>BOGOTÁ</v>
          </cell>
          <cell r="D60" t="str">
            <v>AHORROS</v>
          </cell>
          <cell r="E60" t="str">
            <v>186538757</v>
          </cell>
        </row>
        <row r="61">
          <cell r="A61">
            <v>891580016</v>
          </cell>
          <cell r="B61" t="str">
            <v>DEPARTAMENTO DEL CAUCA</v>
          </cell>
          <cell r="C61"/>
          <cell r="D61"/>
          <cell r="E61"/>
        </row>
        <row r="62">
          <cell r="A62">
            <v>890399029</v>
          </cell>
          <cell r="B62" t="str">
            <v xml:space="preserve">DEPARTAMENTO DEL VALLE DEL CAUCA                                                                    </v>
          </cell>
          <cell r="C62"/>
          <cell r="D62"/>
          <cell r="E62"/>
        </row>
        <row r="63">
          <cell r="A63">
            <v>805010305</v>
          </cell>
          <cell r="B63" t="str">
            <v xml:space="preserve">DISEÑO Y DESARROLLO DE SOFTWARE EU                                                                  </v>
          </cell>
          <cell r="C63" t="str">
            <v>BANCOLOMBIA</v>
          </cell>
          <cell r="D63" t="str">
            <v>CORRIENTE</v>
          </cell>
          <cell r="E63" t="str">
            <v>80722251242</v>
          </cell>
        </row>
        <row r="64">
          <cell r="A64">
            <v>900703208</v>
          </cell>
          <cell r="B64" t="str">
            <v>DISTRIBUIDORA INSUMED SAS</v>
          </cell>
          <cell r="C64" t="str">
            <v>BANCOLOMBIA</v>
          </cell>
          <cell r="D64" t="str">
            <v>AHORROS</v>
          </cell>
          <cell r="E64" t="str">
            <v>80300000279</v>
          </cell>
        </row>
        <row r="65">
          <cell r="A65">
            <v>815000896</v>
          </cell>
          <cell r="B65" t="str">
            <v>DISTRIBUIDORA Y COMERCIALIZADORA DE ENER</v>
          </cell>
          <cell r="C65" t="str">
            <v>BANCOLOMBIA</v>
          </cell>
          <cell r="D65" t="str">
            <v>CORRIENTE</v>
          </cell>
          <cell r="E65" t="str">
            <v>06600997251</v>
          </cell>
        </row>
        <row r="66">
          <cell r="A66">
            <v>890330605</v>
          </cell>
          <cell r="B66" t="str">
            <v>DIVIMUEBLES OTERO SAS</v>
          </cell>
          <cell r="C66" t="str">
            <v>OCCIDENTE</v>
          </cell>
          <cell r="D66" t="str">
            <v>CORRIENTE</v>
          </cell>
          <cell r="E66" t="str">
            <v>014032817</v>
          </cell>
        </row>
        <row r="67">
          <cell r="A67">
            <v>900453334</v>
          </cell>
          <cell r="B67" t="str">
            <v xml:space="preserve">DIVIOFFICE S.A.S.                                                      </v>
          </cell>
          <cell r="C67" t="str">
            <v>DAVIVIENDA</v>
          </cell>
          <cell r="D67" t="str">
            <v>CORRIENTE</v>
          </cell>
          <cell r="E67" t="str">
            <v>019069999506</v>
          </cell>
        </row>
        <row r="68">
          <cell r="A68">
            <v>52125858</v>
          </cell>
          <cell r="B68" t="str">
            <v>DONCEL SANCHEZ NUBY ELIZABETH</v>
          </cell>
          <cell r="C68" t="str">
            <v>DAVIVIENDA</v>
          </cell>
          <cell r="D68" t="str">
            <v>AHORROS</v>
          </cell>
          <cell r="E68" t="str">
            <v>016570414934</v>
          </cell>
        </row>
        <row r="69">
          <cell r="A69">
            <v>900730644</v>
          </cell>
          <cell r="B69" t="str">
            <v>DUIS SAS</v>
          </cell>
          <cell r="C69" t="str">
            <v>OCCIDENTE</v>
          </cell>
          <cell r="D69" t="str">
            <v>AHORROS</v>
          </cell>
          <cell r="E69" t="str">
            <v>010957793</v>
          </cell>
        </row>
        <row r="70">
          <cell r="A70">
            <v>900448021</v>
          </cell>
          <cell r="B70" t="str">
            <v>EDITORIAL LOPEZ SAS</v>
          </cell>
          <cell r="C70" t="str">
            <v>BBVA</v>
          </cell>
          <cell r="D70" t="str">
            <v>CORRIENTE</v>
          </cell>
          <cell r="E70" t="str">
            <v>721018042</v>
          </cell>
        </row>
        <row r="71">
          <cell r="A71">
            <v>1144182426</v>
          </cell>
          <cell r="B71" t="str">
            <v>DUQUE NEIRA SEBASTIAN</v>
          </cell>
          <cell r="C71" t="str">
            <v>BBVA</v>
          </cell>
          <cell r="D71" t="str">
            <v>AHORROS</v>
          </cell>
          <cell r="E71" t="str">
            <v>616103073</v>
          </cell>
        </row>
        <row r="72">
          <cell r="A72">
            <v>901460230</v>
          </cell>
          <cell r="B72" t="str">
            <v>ENCAJA MOBILIARIO S.A.S.</v>
          </cell>
          <cell r="C72" t="str">
            <v>BANCOLOMBIA</v>
          </cell>
          <cell r="D72" t="str">
            <v>AHORROS</v>
          </cell>
          <cell r="E72" t="str">
            <v>51400002349</v>
          </cell>
        </row>
        <row r="73">
          <cell r="A73">
            <v>800051319</v>
          </cell>
          <cell r="B73" t="str">
            <v>ENERGIA Y POTENCIA SAS</v>
          </cell>
          <cell r="C73" t="str">
            <v>BANCOLOMBIA</v>
          </cell>
          <cell r="D73" t="str">
            <v>CORRIENTE</v>
          </cell>
          <cell r="E73" t="str">
            <v>00100847052</v>
          </cell>
        </row>
        <row r="74">
          <cell r="A74">
            <v>94426147</v>
          </cell>
          <cell r="B74" t="str">
            <v>ESCOBAR SANCHEZ ALEJANDRO</v>
          </cell>
          <cell r="C74" t="str">
            <v>DAVIVIENDA</v>
          </cell>
          <cell r="D74" t="str">
            <v>AHORROS</v>
          </cell>
          <cell r="E74" t="str">
            <v>019000020594</v>
          </cell>
        </row>
        <row r="75">
          <cell r="A75">
            <v>800185326</v>
          </cell>
          <cell r="B75" t="str">
            <v>EVEREST ELECTRONICA LIMITADA</v>
          </cell>
          <cell r="C75" t="str">
            <v>BANCOLOMBIA</v>
          </cell>
          <cell r="D75" t="str">
            <v>CORRIENTE</v>
          </cell>
          <cell r="E75" t="str">
            <v>86800089568</v>
          </cell>
        </row>
        <row r="76">
          <cell r="A76">
            <v>805007064</v>
          </cell>
          <cell r="B76" t="str">
            <v>EXTINTORES Y SEGURIDAD SUPER LTDA</v>
          </cell>
          <cell r="C76" t="str">
            <v>OCCIDENTE</v>
          </cell>
          <cell r="D76" t="str">
            <v>CORRIENTE</v>
          </cell>
          <cell r="E76" t="str">
            <v>021837497</v>
          </cell>
        </row>
        <row r="77">
          <cell r="A77">
            <v>901040914</v>
          </cell>
          <cell r="B77" t="str">
            <v>FONTE SAS</v>
          </cell>
          <cell r="C77" t="str">
            <v>BANCOLOMBIA</v>
          </cell>
          <cell r="D77" t="str">
            <v>AHORROS</v>
          </cell>
          <cell r="E77" t="str">
            <v>74970585609</v>
          </cell>
        </row>
        <row r="78">
          <cell r="A78">
            <v>900699807</v>
          </cell>
          <cell r="B78" t="str">
            <v xml:space="preserve">FP CATERING SAS                                                                                     </v>
          </cell>
          <cell r="C78" t="str">
            <v>BANCOLOMBIA</v>
          </cell>
          <cell r="D78" t="str">
            <v>CORRIENTE</v>
          </cell>
          <cell r="E78" t="str">
            <v>82184136419</v>
          </cell>
        </row>
        <row r="79">
          <cell r="A79">
            <v>901199008</v>
          </cell>
          <cell r="B79" t="str">
            <v>GABEL PUBLICIDAD SAS</v>
          </cell>
          <cell r="C79" t="str">
            <v>BANCOMEVA</v>
          </cell>
          <cell r="D79" t="str">
            <v>AHORROS</v>
          </cell>
          <cell r="E79" t="str">
            <v>011500882001</v>
          </cell>
        </row>
        <row r="80">
          <cell r="A80">
            <v>1130658558</v>
          </cell>
          <cell r="B80" t="str">
            <v>GALLEGO FRANCO DUBERNEY</v>
          </cell>
          <cell r="C80" t="str">
            <v>DAVIVIENDA</v>
          </cell>
          <cell r="D80" t="str">
            <v>AHORROS</v>
          </cell>
          <cell r="E80" t="str">
            <v>0570018570103897</v>
          </cell>
        </row>
        <row r="81">
          <cell r="A81">
            <v>29676682</v>
          </cell>
          <cell r="B81" t="str">
            <v>GARCIA BALCAZAR JENNIFER ALEJANDRA</v>
          </cell>
          <cell r="C81" t="str">
            <v>BBVA</v>
          </cell>
          <cell r="D81" t="str">
            <v>AHORROS</v>
          </cell>
          <cell r="E81" t="str">
            <v>616110524</v>
          </cell>
        </row>
        <row r="82">
          <cell r="A82">
            <v>16247167</v>
          </cell>
          <cell r="B82" t="str">
            <v>GIRALDO CORTES LEONEL</v>
          </cell>
          <cell r="C82" t="str">
            <v>COLPATRIA</v>
          </cell>
          <cell r="D82" t="str">
            <v>AHORROS</v>
          </cell>
          <cell r="E82" t="str">
            <v>5972037819</v>
          </cell>
        </row>
        <row r="83">
          <cell r="A83">
            <v>10140817</v>
          </cell>
          <cell r="B83" t="str">
            <v>GIRALDO RICAURTE FEDERICO GUILLERMO</v>
          </cell>
          <cell r="C83" t="str">
            <v>BANCOLOMBIA</v>
          </cell>
          <cell r="D83" t="str">
            <v>CORRIENTE</v>
          </cell>
          <cell r="E83" t="str">
            <v>85166963261</v>
          </cell>
        </row>
        <row r="84">
          <cell r="A84">
            <v>900235425</v>
          </cell>
          <cell r="B84" t="str">
            <v>GLOBAL  AUDITORES Y CONSULTORES S.A.</v>
          </cell>
          <cell r="C84" t="str">
            <v>OCCIDENTE</v>
          </cell>
          <cell r="D84" t="str">
            <v>AHORROS</v>
          </cell>
          <cell r="E84" t="str">
            <v>045887544</v>
          </cell>
        </row>
        <row r="85">
          <cell r="A85">
            <v>901162072</v>
          </cell>
          <cell r="B85" t="str">
            <v>GLOBAL BIOMETRICS SERVIVES SAS</v>
          </cell>
          <cell r="C85" t="str">
            <v>AV VILLAS</v>
          </cell>
          <cell r="D85" t="str">
            <v>AHORROS</v>
          </cell>
          <cell r="E85" t="str">
            <v>146138334</v>
          </cell>
        </row>
        <row r="86">
          <cell r="A86">
            <v>901088166</v>
          </cell>
          <cell r="B86" t="str">
            <v>GOMEZ Y GOMEZ TECNOLOGY SAS</v>
          </cell>
          <cell r="C86" t="str">
            <v>BANCOLOMBIA</v>
          </cell>
          <cell r="D86" t="str">
            <v>AHORROS</v>
          </cell>
          <cell r="E86" t="str">
            <v>82500053263</v>
          </cell>
        </row>
        <row r="87">
          <cell r="A87">
            <v>6549910</v>
          </cell>
          <cell r="B87" t="str">
            <v xml:space="preserve">GONZALEZ DIAZ ANGELO DAVID                                                                          </v>
          </cell>
          <cell r="C87" t="str">
            <v>BANCOLOMBIA</v>
          </cell>
          <cell r="D87" t="str">
            <v>AHORROS</v>
          </cell>
          <cell r="E87" t="str">
            <v>75267492212</v>
          </cell>
        </row>
        <row r="88">
          <cell r="A88">
            <v>34609530</v>
          </cell>
          <cell r="B88" t="str">
            <v>GRIJALBA SANDOVAL ADRIANA</v>
          </cell>
          <cell r="C88" t="str">
            <v>BANCOLOMBIA</v>
          </cell>
          <cell r="D88" t="str">
            <v>AHORROS</v>
          </cell>
          <cell r="E88" t="str">
            <v>83855285633</v>
          </cell>
        </row>
        <row r="89">
          <cell r="A89">
            <v>901285199</v>
          </cell>
          <cell r="B89" t="str">
            <v>GRUPO EMPRESARIAL VID SAS</v>
          </cell>
          <cell r="C89" t="str">
            <v>BANCOLOMBIA</v>
          </cell>
          <cell r="D89" t="str">
            <v>AHORROS</v>
          </cell>
          <cell r="E89" t="str">
            <v>86800001350</v>
          </cell>
        </row>
        <row r="90">
          <cell r="A90">
            <v>76316339</v>
          </cell>
          <cell r="B90" t="str">
            <v>GUEVARA MUÑOZ OSCAR FRANCISCO</v>
          </cell>
          <cell r="C90" t="str">
            <v>BANCOLOMBIA</v>
          </cell>
          <cell r="D90" t="str">
            <v>AHORROS</v>
          </cell>
          <cell r="E90" t="str">
            <v>86839754690</v>
          </cell>
        </row>
        <row r="91">
          <cell r="A91">
            <v>900535433</v>
          </cell>
          <cell r="B91" t="str">
            <v>GUIA PUBLICIDAD ASOCIADOS SAS</v>
          </cell>
          <cell r="C91" t="str">
            <v>DAVIVIENDA</v>
          </cell>
          <cell r="D91" t="str">
            <v>AHORROS</v>
          </cell>
          <cell r="E91" t="str">
            <v>001900227503</v>
          </cell>
        </row>
        <row r="92">
          <cell r="A92">
            <v>16839886</v>
          </cell>
          <cell r="B92" t="str">
            <v>GUTIERREZ  TREJOS  DIEGO FERNANDO</v>
          </cell>
          <cell r="C92" t="str">
            <v>BANCOLOMBIA</v>
          </cell>
          <cell r="D92" t="str">
            <v>AHORROS</v>
          </cell>
          <cell r="E92" t="str">
            <v>81233744239</v>
          </cell>
        </row>
        <row r="93">
          <cell r="A93">
            <v>1130591314</v>
          </cell>
          <cell r="B93" t="str">
            <v>HERNANDEZ ?A?EZ ZILMA</v>
          </cell>
          <cell r="C93" t="str">
            <v>BANCOLOMBIA</v>
          </cell>
          <cell r="D93" t="str">
            <v>AHORROS</v>
          </cell>
          <cell r="E93" t="str">
            <v>80398338981</v>
          </cell>
        </row>
        <row r="94">
          <cell r="A94">
            <v>6289000</v>
          </cell>
          <cell r="B94" t="str">
            <v>HERRAN GOMEZ JOSE MANUEL</v>
          </cell>
          <cell r="C94" t="str">
            <v>BANCOLOMBIA</v>
          </cell>
          <cell r="D94" t="str">
            <v>CORRIENTE</v>
          </cell>
          <cell r="E94" t="str">
            <v>85886424554</v>
          </cell>
        </row>
        <row r="95">
          <cell r="A95">
            <v>25269412</v>
          </cell>
          <cell r="B95" t="str">
            <v>HURTADO COLLAZOS GLORIA AMPARO</v>
          </cell>
          <cell r="C95" t="str">
            <v>CAJA SOCIAL</v>
          </cell>
          <cell r="D95" t="str">
            <v>AHORROS</v>
          </cell>
          <cell r="E95" t="str">
            <v>24094332513</v>
          </cell>
        </row>
        <row r="96">
          <cell r="A96">
            <v>1113621247</v>
          </cell>
          <cell r="B96" t="str">
            <v>HURTADO HURTADO HERSON ALBINO</v>
          </cell>
          <cell r="C96" t="str">
            <v>BANCOLOMBIA</v>
          </cell>
          <cell r="D96" t="str">
            <v>AHORROS</v>
          </cell>
          <cell r="E96" t="str">
            <v>06635220919</v>
          </cell>
        </row>
        <row r="97">
          <cell r="A97">
            <v>900852138</v>
          </cell>
          <cell r="B97" t="str">
            <v>I CLOUD SEVEN S.A.S.</v>
          </cell>
          <cell r="C97" t="str">
            <v>BOGOTÁ</v>
          </cell>
          <cell r="D97" t="str">
            <v>AHORROS</v>
          </cell>
          <cell r="E97" t="str">
            <v>052390697</v>
          </cell>
        </row>
        <row r="98">
          <cell r="A98">
            <v>1130636642</v>
          </cell>
          <cell r="B98" t="str">
            <v>IBAGON TUMBAQUI ELIAS ANDRES</v>
          </cell>
          <cell r="C98" t="str">
            <v>BANCOLOMBIA</v>
          </cell>
          <cell r="D98" t="str">
            <v>AHORROS</v>
          </cell>
          <cell r="E98" t="str">
            <v>06223033367</v>
          </cell>
        </row>
        <row r="99">
          <cell r="A99">
            <v>900054558</v>
          </cell>
          <cell r="B99" t="str">
            <v>IDENTIFICACION DE COLOMBIA S.A.S.</v>
          </cell>
          <cell r="C99" t="str">
            <v>BANCOLOMBIA</v>
          </cell>
          <cell r="D99" t="str">
            <v>AHORROS</v>
          </cell>
          <cell r="E99" t="str">
            <v>30390026596</v>
          </cell>
        </row>
        <row r="100">
          <cell r="A100">
            <v>901356142</v>
          </cell>
          <cell r="B100" t="str">
            <v>IGLESIA PANAMERICANA DE OCCIDENTE</v>
          </cell>
          <cell r="C100" t="str">
            <v>COLPATRIA</v>
          </cell>
          <cell r="D100" t="str">
            <v>CORRIENTE</v>
          </cell>
          <cell r="E100" t="str">
            <v>0701006186</v>
          </cell>
        </row>
        <row r="101">
          <cell r="A101">
            <v>890302906</v>
          </cell>
          <cell r="B101" t="str">
            <v>ILUMINACIONES TECNICAS SA</v>
          </cell>
          <cell r="C101" t="str">
            <v>OCCIDENTE</v>
          </cell>
          <cell r="D101" t="str">
            <v>CORRIENTE</v>
          </cell>
          <cell r="E101" t="str">
            <v>021044193</v>
          </cell>
        </row>
        <row r="102">
          <cell r="A102">
            <v>800254636</v>
          </cell>
          <cell r="B102" t="str">
            <v>IMPROS LTDA</v>
          </cell>
          <cell r="C102" t="str">
            <v>BOGOTA</v>
          </cell>
          <cell r="D102" t="str">
            <v>CORRIENTE</v>
          </cell>
          <cell r="E102" t="str">
            <v>484198965</v>
          </cell>
        </row>
        <row r="103">
          <cell r="A103">
            <v>900631939</v>
          </cell>
          <cell r="B103" t="str">
            <v>INDUSTRIA ARQUITECTONICA DEL VALLE SAS</v>
          </cell>
          <cell r="C103" t="str">
            <v>OCCIDENTE</v>
          </cell>
          <cell r="D103" t="str">
            <v>AHORROS</v>
          </cell>
          <cell r="E103" t="str">
            <v>022948848</v>
          </cell>
        </row>
        <row r="104">
          <cell r="A104">
            <v>900128172</v>
          </cell>
          <cell r="B104" t="str">
            <v>INDUSTRIAS L.H. S.A.S.</v>
          </cell>
          <cell r="C104" t="str">
            <v>BBVA</v>
          </cell>
          <cell r="D104" t="str">
            <v>CORRIENTE</v>
          </cell>
          <cell r="E104" t="str">
            <v>235015484</v>
          </cell>
        </row>
        <row r="105">
          <cell r="A105">
            <v>805019778</v>
          </cell>
          <cell r="B105" t="str">
            <v>INFOTECH DE COLOMBIA SAS</v>
          </cell>
          <cell r="C105" t="str">
            <v>BANCOLOMBIA</v>
          </cell>
          <cell r="D105" t="str">
            <v>CORRIENTE</v>
          </cell>
          <cell r="E105" t="str">
            <v>82106733493</v>
          </cell>
        </row>
        <row r="106">
          <cell r="A106">
            <v>890001600</v>
          </cell>
          <cell r="B106" t="str">
            <v>IVAN BOTERO GOMEZ SA</v>
          </cell>
          <cell r="C106" t="str">
            <v>BANCOLOMBIA</v>
          </cell>
          <cell r="D106" t="str">
            <v>CORRIENTE</v>
          </cell>
          <cell r="E106" t="str">
            <v>75600058049</v>
          </cell>
        </row>
        <row r="107">
          <cell r="A107">
            <v>901154229</v>
          </cell>
          <cell r="B107" t="str">
            <v>INVERSIONES MEGASUERTE S.A.S.</v>
          </cell>
          <cell r="C107" t="str">
            <v>COOPERATIVA CONFIAR</v>
          </cell>
          <cell r="D107" t="str">
            <v>AHORROS</v>
          </cell>
          <cell r="E107" t="str">
            <v>051578128</v>
          </cell>
        </row>
        <row r="108">
          <cell r="A108">
            <v>900316828</v>
          </cell>
          <cell r="B108" t="str">
            <v xml:space="preserve">IUS VERITAS ABOGADOS SAS                                                                   </v>
          </cell>
          <cell r="C108" t="str">
            <v>CAJA SOCIAL</v>
          </cell>
          <cell r="D108" t="str">
            <v>CORRIENTE</v>
          </cell>
          <cell r="E108" t="str">
            <v>21003238849</v>
          </cell>
        </row>
        <row r="109">
          <cell r="A109">
            <v>41592282</v>
          </cell>
          <cell r="B109" t="str">
            <v xml:space="preserve">JOYA CAVIEDES LUZ MERY                                                                       </v>
          </cell>
          <cell r="C109" t="str">
            <v>BANCOLOMBIA</v>
          </cell>
          <cell r="D109" t="str">
            <v>AHORROS</v>
          </cell>
          <cell r="E109" t="str">
            <v>71600011001</v>
          </cell>
        </row>
        <row r="110">
          <cell r="A110">
            <v>805028971</v>
          </cell>
          <cell r="B110" t="str">
            <v xml:space="preserve">JV PUBLICIDAD S.A.S.                                                                                </v>
          </cell>
          <cell r="C110" t="str">
            <v>BANCOLOMBIA</v>
          </cell>
          <cell r="D110" t="str">
            <v>CORRIENTE</v>
          </cell>
          <cell r="E110" t="str">
            <v>06100003047</v>
          </cell>
        </row>
        <row r="111">
          <cell r="A111">
            <v>805020433</v>
          </cell>
          <cell r="B111" t="str">
            <v>LA CASA DE LOS TENDEROS S.A.S.</v>
          </cell>
          <cell r="C111" t="str">
            <v>BANCOLOMBIA</v>
          </cell>
          <cell r="D111" t="str">
            <v>CORRIENTE</v>
          </cell>
          <cell r="E111" t="str">
            <v>82920541885</v>
          </cell>
        </row>
        <row r="112">
          <cell r="A112">
            <v>890900098</v>
          </cell>
          <cell r="B112" t="str">
            <v>LANDERS Y CIA S.A.S.</v>
          </cell>
          <cell r="C112" t="str">
            <v>BANCOLOMBIA</v>
          </cell>
          <cell r="D112" t="str">
            <v>CORRIENTE</v>
          </cell>
          <cell r="E112" t="str">
            <v>51135934905</v>
          </cell>
        </row>
        <row r="113">
          <cell r="A113">
            <v>805003065</v>
          </cell>
          <cell r="B113" t="str">
            <v>LASSO TACHA E HIJOS Y CIA S EN C</v>
          </cell>
          <cell r="C113" t="str">
            <v>OCCIDENTE</v>
          </cell>
          <cell r="D113" t="str">
            <v>CORRIENTE</v>
          </cell>
          <cell r="E113" t="str">
            <v>073042558</v>
          </cell>
        </row>
        <row r="114">
          <cell r="A114">
            <v>16849811</v>
          </cell>
          <cell r="B114" t="str">
            <v>LASSO TACHA JOSUE</v>
          </cell>
          <cell r="C114" t="str">
            <v>BANCOLOMBIA</v>
          </cell>
          <cell r="D114" t="str">
            <v>AHORROS</v>
          </cell>
          <cell r="E114" t="str">
            <v>71682609413</v>
          </cell>
        </row>
        <row r="115">
          <cell r="A115">
            <v>1144181096</v>
          </cell>
          <cell r="B115" t="str">
            <v>LEMOS GUZMAN JOSE JAVIER</v>
          </cell>
          <cell r="C115" t="str">
            <v>DAVIVIENDA</v>
          </cell>
          <cell r="D115" t="str">
            <v>AHORROS</v>
          </cell>
          <cell r="E115" t="str">
            <v>0550488406927407</v>
          </cell>
        </row>
        <row r="116">
          <cell r="A116">
            <v>860039988</v>
          </cell>
          <cell r="B116" t="str">
            <v>LIBERTY SEGUROS S.A.</v>
          </cell>
          <cell r="C116" t="str">
            <v>BANCOLOMBIA</v>
          </cell>
          <cell r="D116" t="str">
            <v>CORRIENTE</v>
          </cell>
          <cell r="E116" t="str">
            <v>04801736521</v>
          </cell>
        </row>
        <row r="117">
          <cell r="A117">
            <v>800027927</v>
          </cell>
          <cell r="B117" t="str">
            <v>LINEADASTASCAN S.A.</v>
          </cell>
          <cell r="C117" t="str">
            <v>BBVA</v>
          </cell>
          <cell r="D117" t="str">
            <v>AHORROS</v>
          </cell>
          <cell r="E117" t="str">
            <v>025134156</v>
          </cell>
        </row>
        <row r="118">
          <cell r="A118">
            <v>94491105</v>
          </cell>
          <cell r="B118" t="str">
            <v>LOPEZ ALARCON JOHN HENRY</v>
          </cell>
          <cell r="C118" t="str">
            <v>BANCOLOMBIA</v>
          </cell>
          <cell r="D118" t="str">
            <v>AHORROS</v>
          </cell>
          <cell r="E118" t="str">
            <v>82562593299</v>
          </cell>
        </row>
        <row r="119">
          <cell r="A119">
            <v>891500650</v>
          </cell>
          <cell r="B119" t="str">
            <v>LOTERIA DEL CAUCA</v>
          </cell>
          <cell r="C119" t="str">
            <v>BOGOTA</v>
          </cell>
          <cell r="D119" t="str">
            <v>CORRIENTE</v>
          </cell>
          <cell r="E119" t="str">
            <v>520052408</v>
          </cell>
        </row>
        <row r="120">
          <cell r="A120">
            <v>16614755</v>
          </cell>
          <cell r="B120" t="str">
            <v>LOZANO RIVAS HIDELBRANDO</v>
          </cell>
          <cell r="C120" t="str">
            <v>AV VILLAS</v>
          </cell>
          <cell r="D120" t="str">
            <v>AHORROS</v>
          </cell>
          <cell r="E120" t="str">
            <v>101029072</v>
          </cell>
        </row>
        <row r="121">
          <cell r="A121">
            <v>900434009</v>
          </cell>
          <cell r="B121" t="str">
            <v>MACROTICS S.A.S</v>
          </cell>
          <cell r="C121" t="str">
            <v>BANCOLOMBIA</v>
          </cell>
          <cell r="D121" t="str">
            <v>CORRIENTE</v>
          </cell>
          <cell r="E121" t="str">
            <v>81383828172</v>
          </cell>
        </row>
        <row r="122">
          <cell r="A122">
            <v>830096808</v>
          </cell>
          <cell r="B122" t="str">
            <v>MAR DEL SUR LTDA.</v>
          </cell>
          <cell r="C122" t="str">
            <v>ITAÚ</v>
          </cell>
          <cell r="D122" t="str">
            <v>AHORROS</v>
          </cell>
          <cell r="E122" t="str">
            <v>015003814</v>
          </cell>
        </row>
        <row r="123">
          <cell r="A123">
            <v>900796527</v>
          </cell>
          <cell r="B123" t="str">
            <v>MARKMOVING S.A.S.</v>
          </cell>
          <cell r="C123" t="str">
            <v>BANCOLOMBIA</v>
          </cell>
          <cell r="D123" t="str">
            <v>AHORROS</v>
          </cell>
          <cell r="E123" t="str">
            <v>18542575545</v>
          </cell>
        </row>
        <row r="124">
          <cell r="A124">
            <v>4669491</v>
          </cell>
          <cell r="B124" t="str">
            <v>MARTINEZ GOMEZ JOEL OMAR</v>
          </cell>
          <cell r="C124" t="str">
            <v>BANCOLOMBIA</v>
          </cell>
          <cell r="D124" t="str">
            <v>AHORROS</v>
          </cell>
          <cell r="E124" t="str">
            <v>24275652616</v>
          </cell>
        </row>
        <row r="125">
          <cell r="A125">
            <v>900327256</v>
          </cell>
          <cell r="B125" t="str">
            <v>MATRIX GIROS Y SERVICIOS SASA</v>
          </cell>
          <cell r="C125" t="str">
            <v>BBVA</v>
          </cell>
          <cell r="D125" t="str">
            <v>AHORROS</v>
          </cell>
          <cell r="E125" t="str">
            <v>833003882</v>
          </cell>
        </row>
        <row r="126">
          <cell r="A126">
            <v>900581585</v>
          </cell>
          <cell r="B126" t="str">
            <v>MATRIX SEGUROS LTDA</v>
          </cell>
          <cell r="C126" t="str">
            <v>BANCOLOMBIA</v>
          </cell>
          <cell r="D126" t="str">
            <v>AHORROS</v>
          </cell>
          <cell r="E126" t="str">
            <v>00118243528</v>
          </cell>
        </row>
        <row r="127">
          <cell r="A127">
            <v>900712544</v>
          </cell>
          <cell r="B127" t="str">
            <v>UX TECHNOLOGY SAS</v>
          </cell>
          <cell r="C127" t="str">
            <v>BBVA</v>
          </cell>
          <cell r="D127" t="str">
            <v>CORRIENTE</v>
          </cell>
          <cell r="E127" t="str">
            <v>0500014154</v>
          </cell>
        </row>
        <row r="128">
          <cell r="A128">
            <v>1130608407</v>
          </cell>
          <cell r="B128" t="str">
            <v>MAYA  DUKMAK  JORGE LUIS</v>
          </cell>
          <cell r="C128" t="str">
            <v>BANCOLOMBIA</v>
          </cell>
          <cell r="D128" t="str">
            <v>AHORROS</v>
          </cell>
          <cell r="E128" t="str">
            <v>06213650619</v>
          </cell>
        </row>
        <row r="129">
          <cell r="A129">
            <v>1113622302</v>
          </cell>
          <cell r="B129" t="str">
            <v>MEDINA CIFUENTES DIEGO FERNANDO</v>
          </cell>
          <cell r="C129" t="str">
            <v>DAVIVIENDA</v>
          </cell>
          <cell r="D129" t="str">
            <v>AHORROS</v>
          </cell>
          <cell r="E129" t="str">
            <v>0550488408159918</v>
          </cell>
        </row>
        <row r="130">
          <cell r="A130">
            <v>1061771105</v>
          </cell>
          <cell r="B130" t="str">
            <v>MEDINA VELASQUEZ KEVIN SEBASTIAN</v>
          </cell>
          <cell r="C130" t="str">
            <v>BANCOLOMBIA</v>
          </cell>
          <cell r="D130" t="str">
            <v>AHORROS</v>
          </cell>
          <cell r="E130" t="str">
            <v>26180060455</v>
          </cell>
        </row>
        <row r="131">
          <cell r="A131">
            <v>94062784</v>
          </cell>
          <cell r="B131" t="str">
            <v>MENA VASQUEZ JOHAM ADOLFO / MISCELANEA TECNOLOGICA</v>
          </cell>
          <cell r="C131" t="str">
            <v>BANCOLOMBIA</v>
          </cell>
          <cell r="D131" t="str">
            <v>AHORROS</v>
          </cell>
          <cell r="E131" t="str">
            <v>82551656264</v>
          </cell>
        </row>
        <row r="132">
          <cell r="A132">
            <v>800189839</v>
          </cell>
          <cell r="B132" t="str">
            <v>MES DE OCCIDENTE S.A.S.</v>
          </cell>
          <cell r="C132" t="str">
            <v>BANCOLOMBIA</v>
          </cell>
          <cell r="D132" t="str">
            <v>CORRIENTE</v>
          </cell>
          <cell r="E132" t="str">
            <v>81205244881</v>
          </cell>
        </row>
        <row r="133">
          <cell r="A133">
            <v>1036657518</v>
          </cell>
          <cell r="B133" t="str">
            <v>MESA RESTREPO HAMILTON FERNEY</v>
          </cell>
          <cell r="C133" t="str">
            <v>BANCOLOMBIA</v>
          </cell>
          <cell r="D133" t="str">
            <v>AHORROS</v>
          </cell>
          <cell r="E133" t="str">
            <v>91217997092</v>
          </cell>
        </row>
        <row r="134">
          <cell r="A134">
            <v>901065427</v>
          </cell>
          <cell r="B134" t="str">
            <v>MOLINA FRANCO MARYORY SAS</v>
          </cell>
          <cell r="C134" t="str">
            <v>DAVIVIENDA</v>
          </cell>
          <cell r="D134" t="str">
            <v>CORRIENTE</v>
          </cell>
          <cell r="E134" t="str">
            <v>017869998728</v>
          </cell>
        </row>
        <row r="135">
          <cell r="A135">
            <v>94275056</v>
          </cell>
          <cell r="B135" t="str">
            <v>MONROY  ZULUAGA  RUBEN EDUARO</v>
          </cell>
          <cell r="C135" t="str">
            <v>DAVIVIENDA</v>
          </cell>
          <cell r="D135" t="str">
            <v>AHORROS</v>
          </cell>
          <cell r="E135" t="str">
            <v>0550016800109957</v>
          </cell>
        </row>
        <row r="136">
          <cell r="A136">
            <v>900625385</v>
          </cell>
          <cell r="B136" t="str">
            <v>MULTISERVICIOS COLOMBIA A Y P SAS</v>
          </cell>
          <cell r="C136" t="str">
            <v>BANCOLOMBIA</v>
          </cell>
          <cell r="D136" t="str">
            <v>CORRIENTE</v>
          </cell>
          <cell r="E136" t="str">
            <v>82999438221</v>
          </cell>
        </row>
        <row r="137">
          <cell r="A137">
            <v>860037013</v>
          </cell>
          <cell r="B137" t="str">
            <v>COMPAÑIA MUNDIAL DE SEGUROS S.A.</v>
          </cell>
          <cell r="C137" t="str">
            <v>BANCOLOMBIA</v>
          </cell>
          <cell r="D137" t="str">
            <v>CORRIENTE</v>
          </cell>
          <cell r="E137" t="str">
            <v>03106729527</v>
          </cell>
        </row>
        <row r="138">
          <cell r="A138">
            <v>817004535</v>
          </cell>
          <cell r="B138" t="str">
            <v>CORPORACION UNIVERSITARIA COMFACAUCA UNICOMFACAUCA</v>
          </cell>
          <cell r="C138" t="str">
            <v>BBVA</v>
          </cell>
          <cell r="D138" t="str">
            <v>AHORROS</v>
          </cell>
          <cell r="E138" t="str">
            <v>570344069</v>
          </cell>
        </row>
        <row r="139">
          <cell r="A139">
            <v>890399011</v>
          </cell>
          <cell r="B139" t="str">
            <v xml:space="preserve">MUNICIPIO DE SANTIAGO DE CALI                                                                       </v>
          </cell>
          <cell r="C139"/>
          <cell r="D139"/>
          <cell r="E139"/>
        </row>
        <row r="140">
          <cell r="A140">
            <v>34327439</v>
          </cell>
          <cell r="B140" t="str">
            <v>MUÑOZ GARZON DIANA CAROLINA</v>
          </cell>
          <cell r="C140" t="str">
            <v>BANCOLOMBIA</v>
          </cell>
          <cell r="D140" t="str">
            <v>AHORROS</v>
          </cell>
          <cell r="E140" t="str">
            <v>26152338782</v>
          </cell>
        </row>
        <row r="141">
          <cell r="A141">
            <v>1144103034</v>
          </cell>
          <cell r="B141" t="str">
            <v>MUÑOZ MERA CHRISTIAN FELIPE</v>
          </cell>
          <cell r="C141" t="str">
            <v>BANCOLOMBIA</v>
          </cell>
          <cell r="D141" t="str">
            <v>AHORROS</v>
          </cell>
          <cell r="E141" t="str">
            <v>03164902249</v>
          </cell>
        </row>
        <row r="142">
          <cell r="A142">
            <v>4323920</v>
          </cell>
          <cell r="B142" t="str">
            <v>MURIEL JORGE</v>
          </cell>
          <cell r="C142" t="str">
            <v>AV VILLAS</v>
          </cell>
          <cell r="D142" t="str">
            <v>AHORROS</v>
          </cell>
          <cell r="E142" t="str">
            <v>352932284</v>
          </cell>
        </row>
        <row r="143">
          <cell r="A143">
            <v>860002595</v>
          </cell>
          <cell r="B143" t="str">
            <v>NEWELL BRANDS DE COLOMBIA SAS</v>
          </cell>
          <cell r="C143" t="str">
            <v>DAVIVIENDA</v>
          </cell>
          <cell r="D143" t="str">
            <v>CORRIENTE</v>
          </cell>
          <cell r="E143" t="str">
            <v>008069999889</v>
          </cell>
        </row>
        <row r="144">
          <cell r="A144">
            <v>900480786</v>
          </cell>
          <cell r="B144" t="str">
            <v>NUVA S.A.S.</v>
          </cell>
          <cell r="C144" t="str">
            <v>BANCOLOMBIA</v>
          </cell>
          <cell r="D144" t="str">
            <v>AHORROS</v>
          </cell>
          <cell r="E144" t="str">
            <v>24578360901</v>
          </cell>
        </row>
        <row r="145">
          <cell r="A145">
            <v>900668336</v>
          </cell>
          <cell r="B145" t="str">
            <v>OFICOMCO SAS</v>
          </cell>
          <cell r="C145" t="str">
            <v>BANCOLOMBIA</v>
          </cell>
          <cell r="D145" t="str">
            <v>CORRIENTE</v>
          </cell>
          <cell r="E145" t="str">
            <v>17815089827</v>
          </cell>
        </row>
        <row r="146">
          <cell r="A146">
            <v>900381526</v>
          </cell>
          <cell r="B146" t="str">
            <v>OFIPROYECTO SAS</v>
          </cell>
          <cell r="C146" t="str">
            <v>BANCOLOMBIA</v>
          </cell>
          <cell r="D146" t="str">
            <v>CORRIENTE</v>
          </cell>
          <cell r="E146" t="str">
            <v>51414387678</v>
          </cell>
        </row>
        <row r="147">
          <cell r="A147">
            <v>890903279</v>
          </cell>
          <cell r="B147" t="str">
            <v>OPERACIONES GENERALES SURAMERICANA S.A.S.</v>
          </cell>
          <cell r="C147" t="str">
            <v>BANCOLOMBIA</v>
          </cell>
          <cell r="D147" t="str">
            <v>AHORROS</v>
          </cell>
          <cell r="E147" t="str">
            <v>00306041631</v>
          </cell>
        </row>
        <row r="148">
          <cell r="A148">
            <v>900654375</v>
          </cell>
          <cell r="B148" t="str">
            <v>OPETRANS S.A.S.</v>
          </cell>
          <cell r="C148" t="str">
            <v>BANCOLOMBIA</v>
          </cell>
          <cell r="D148" t="str">
            <v>AHORROS</v>
          </cell>
          <cell r="E148" t="str">
            <v>82566625985</v>
          </cell>
        </row>
        <row r="149">
          <cell r="A149">
            <v>830062421</v>
          </cell>
          <cell r="B149" t="str">
            <v>ORGANIZACION SERIN SAS</v>
          </cell>
          <cell r="C149" t="str">
            <v>BOGOTÁ</v>
          </cell>
          <cell r="D149" t="str">
            <v>CORRIENTE</v>
          </cell>
          <cell r="E149" t="str">
            <v>038327540</v>
          </cell>
        </row>
        <row r="150">
          <cell r="A150">
            <v>1061729057</v>
          </cell>
          <cell r="B150" t="str">
            <v>OROZCO ULLOA EYERIN BRIGETTE</v>
          </cell>
          <cell r="C150" t="str">
            <v>BANCOLOMBIA</v>
          </cell>
          <cell r="D150" t="str">
            <v>AHORROS</v>
          </cell>
          <cell r="E150" t="str">
            <v>26114097852</v>
          </cell>
        </row>
        <row r="151">
          <cell r="A151">
            <v>14972897</v>
          </cell>
          <cell r="B151" t="str">
            <v>ORTIZ SARMIENTO RODRIGO</v>
          </cell>
          <cell r="C151" t="str">
            <v>POPULAR</v>
          </cell>
          <cell r="D151" t="str">
            <v>AHORROS</v>
          </cell>
          <cell r="E151" t="str">
            <v>230587213546</v>
          </cell>
        </row>
        <row r="152">
          <cell r="A152">
            <v>901392967</v>
          </cell>
          <cell r="B152" t="str">
            <v>OWO TECH SAS</v>
          </cell>
          <cell r="C152" t="str">
            <v>BBVA</v>
          </cell>
          <cell r="D152" t="str">
            <v>CORRIENTE</v>
          </cell>
          <cell r="E152" t="str">
            <v>502007891</v>
          </cell>
        </row>
        <row r="153">
          <cell r="A153">
            <v>890319176</v>
          </cell>
          <cell r="B153" t="str">
            <v>PAPELERIA CATI  LTDA</v>
          </cell>
          <cell r="C153" t="str">
            <v>BOGOTA</v>
          </cell>
          <cell r="D153" t="str">
            <v>CORRIENTE</v>
          </cell>
          <cell r="E153" t="str">
            <v>256068701</v>
          </cell>
        </row>
        <row r="154">
          <cell r="A154">
            <v>14695991</v>
          </cell>
          <cell r="B154" t="str">
            <v>PEREZ LOZANO ROGER ALFARO</v>
          </cell>
          <cell r="C154" t="str">
            <v>BANCOLOMBIA</v>
          </cell>
          <cell r="D154" t="str">
            <v>AHORROS</v>
          </cell>
          <cell r="E154" t="str">
            <v>30625262420</v>
          </cell>
        </row>
        <row r="155">
          <cell r="A155">
            <v>830504013</v>
          </cell>
          <cell r="B155" t="str">
            <v>PLAY TECHNOLOGIES S.A.S.</v>
          </cell>
          <cell r="C155" t="str">
            <v>BANCOOMEVA</v>
          </cell>
          <cell r="D155" t="str">
            <v>CORRIENTE</v>
          </cell>
          <cell r="E155" t="str">
            <v>010711180606</v>
          </cell>
        </row>
        <row r="156">
          <cell r="A156">
            <v>14443693</v>
          </cell>
          <cell r="B156" t="str">
            <v>POLO RAMIREZ CARLOS ARTURO</v>
          </cell>
          <cell r="C156" t="str">
            <v>BOGOTÁ</v>
          </cell>
          <cell r="D156" t="str">
            <v>AHORROS</v>
          </cell>
          <cell r="E156" t="str">
            <v>256436452</v>
          </cell>
        </row>
        <row r="157">
          <cell r="A157">
            <v>900167121</v>
          </cell>
          <cell r="B157" t="str">
            <v>PROCARE SALUD OCUPACIONAL IPS S.A.S.</v>
          </cell>
          <cell r="C157" t="str">
            <v>OCCIDENTE</v>
          </cell>
          <cell r="D157" t="str">
            <v>CORRIENTE</v>
          </cell>
          <cell r="E157" t="str">
            <v>01608872</v>
          </cell>
        </row>
        <row r="158">
          <cell r="A158">
            <v>900235531</v>
          </cell>
          <cell r="B158" t="str">
            <v>PROMOAMBIENTAL VALLE S.A. ESP</v>
          </cell>
          <cell r="C158" t="str">
            <v>BOGOTA</v>
          </cell>
          <cell r="D158"/>
          <cell r="E158" t="str">
            <v>484802798</v>
          </cell>
        </row>
        <row r="159">
          <cell r="A159">
            <v>901162989</v>
          </cell>
          <cell r="B159" t="str">
            <v>PROMOHIT PROMOCIONALES S.A.S.</v>
          </cell>
          <cell r="C159" t="str">
            <v>OCCIDENTE</v>
          </cell>
          <cell r="D159" t="str">
            <v>CORRIENTE</v>
          </cell>
          <cell r="E159" t="str">
            <v>073865180</v>
          </cell>
        </row>
        <row r="160">
          <cell r="A160">
            <v>890401802</v>
          </cell>
          <cell r="B160" t="str">
            <v>PROSEGUR VIGILANCIA Y SEGURIDAD PRIVADA LTDA</v>
          </cell>
          <cell r="C160" t="str">
            <v>BANCOLOMBIA</v>
          </cell>
          <cell r="D160" t="str">
            <v>CORRIENTE</v>
          </cell>
          <cell r="E160" t="str">
            <v>03179128659</v>
          </cell>
        </row>
        <row r="161">
          <cell r="A161">
            <v>901079204</v>
          </cell>
          <cell r="B161" t="str">
            <v xml:space="preserve">QP HOTELES S.A.S  </v>
          </cell>
          <cell r="C161" t="str">
            <v>BANCOLOMBIA</v>
          </cell>
          <cell r="D161" t="str">
            <v>CORRIENTE</v>
          </cell>
          <cell r="E161" t="str">
            <v>71677351916</v>
          </cell>
        </row>
        <row r="162">
          <cell r="A162">
            <v>900174087</v>
          </cell>
          <cell r="B162" t="str">
            <v>QUALITYCOLOMBIA BUSINESS SOLUTIONS S.A.</v>
          </cell>
          <cell r="C162" t="str">
            <v>BANCOLOMBIA</v>
          </cell>
          <cell r="D162" t="str">
            <v>AHORROS</v>
          </cell>
          <cell r="E162" t="str">
            <v>76236866226</v>
          </cell>
        </row>
        <row r="163">
          <cell r="A163">
            <v>1144164721</v>
          </cell>
          <cell r="B163" t="str">
            <v>QUINTERO AGUILAR CRISTIAN ANDRES Y/O SMART COLD</v>
          </cell>
          <cell r="C163" t="str">
            <v>BOGOTÁ</v>
          </cell>
          <cell r="D163" t="str">
            <v>AHORROS</v>
          </cell>
          <cell r="E163" t="str">
            <v>126112622</v>
          </cell>
        </row>
        <row r="164">
          <cell r="A164">
            <v>1113636558</v>
          </cell>
          <cell r="B164" t="str">
            <v xml:space="preserve">QUINTERO POLO DARWIN LEANDRO                                             </v>
          </cell>
          <cell r="C164" t="str">
            <v>BANCOLOMBIA</v>
          </cell>
          <cell r="D164" t="str">
            <v>AHORROS</v>
          </cell>
          <cell r="E164" t="str">
            <v>18593117738</v>
          </cell>
        </row>
        <row r="165">
          <cell r="A165">
            <v>890903910</v>
          </cell>
          <cell r="B165" t="str">
            <v>RADIO CADENA NACIONAL S.A</v>
          </cell>
          <cell r="C165" t="str">
            <v>DAVIVIENDA</v>
          </cell>
          <cell r="D165" t="str">
            <v>AHORROS</v>
          </cell>
          <cell r="E165" t="str">
            <v>008900158646</v>
          </cell>
        </row>
        <row r="166">
          <cell r="A166">
            <v>10305709</v>
          </cell>
          <cell r="B166" t="str">
            <v xml:space="preserve">RAMIREZ BRAVO WILLIAN REINALDO     </v>
          </cell>
          <cell r="C166" t="str">
            <v>COLPATRIA</v>
          </cell>
          <cell r="D166" t="str">
            <v>AHORROS</v>
          </cell>
          <cell r="E166" t="str">
            <v>004452018541</v>
          </cell>
        </row>
        <row r="167">
          <cell r="A167">
            <v>14700507</v>
          </cell>
          <cell r="B167" t="str">
            <v>RAMIREZ  HENAO  JOSE ARLEY</v>
          </cell>
          <cell r="C167" t="str">
            <v>AV VILLAS</v>
          </cell>
          <cell r="D167" t="str">
            <v>AHORROS</v>
          </cell>
          <cell r="E167" t="str">
            <v>126769012</v>
          </cell>
        </row>
        <row r="168">
          <cell r="A168">
            <v>83228478</v>
          </cell>
          <cell r="B168" t="str">
            <v>RAMOS SANCHEZ DIEGO FERNANDO</v>
          </cell>
          <cell r="C168" t="str">
            <v>DAVIVIENDA</v>
          </cell>
          <cell r="D168" t="str">
            <v>AHORROS</v>
          </cell>
          <cell r="E168" t="str">
            <v>0570016270327626</v>
          </cell>
        </row>
        <row r="169">
          <cell r="A169">
            <v>800078360</v>
          </cell>
          <cell r="B169" t="str">
            <v>REDOX COLOMBIA S.A.S.</v>
          </cell>
          <cell r="C169" t="str">
            <v>BOGOTÁ</v>
          </cell>
          <cell r="D169" t="str">
            <v>CORRIENTE</v>
          </cell>
          <cell r="E169" t="str">
            <v>487015968</v>
          </cell>
        </row>
        <row r="170">
          <cell r="A170">
            <v>1116445895</v>
          </cell>
          <cell r="B170" t="str">
            <v xml:space="preserve">RESTREPO ERAZO MARIA CAMILA    </v>
          </cell>
          <cell r="C170" t="str">
            <v xml:space="preserve">BANCOLOMBIA </v>
          </cell>
          <cell r="D170" t="str">
            <v>AHORROS</v>
          </cell>
          <cell r="E170" t="str">
            <v>91218040930</v>
          </cell>
        </row>
        <row r="171">
          <cell r="A171">
            <v>16494257</v>
          </cell>
          <cell r="B171" t="str">
            <v>RESTREPO SANCHEZ CARLOS ALBERTO</v>
          </cell>
          <cell r="C171" t="str">
            <v xml:space="preserve">BANCOLOMBIA </v>
          </cell>
          <cell r="D171" t="str">
            <v>AHORROS</v>
          </cell>
          <cell r="E171" t="str">
            <v>81032461921</v>
          </cell>
        </row>
        <row r="172">
          <cell r="A172">
            <v>25281461</v>
          </cell>
          <cell r="B172" t="str">
            <v>REYES ORDOÑEZ ADRIANA PATRICIA</v>
          </cell>
          <cell r="C172" t="str">
            <v>DAVIVIENDA</v>
          </cell>
          <cell r="D172" t="str">
            <v>CORRIENTE</v>
          </cell>
          <cell r="E172" t="str">
            <v>196060012701</v>
          </cell>
        </row>
        <row r="173">
          <cell r="A173">
            <v>94415836</v>
          </cell>
          <cell r="B173" t="str">
            <v>RIASCOS MADRID JOSE ANTONIO</v>
          </cell>
          <cell r="C173" t="str">
            <v>AV VILLAS</v>
          </cell>
          <cell r="D173" t="str">
            <v>AHORROS</v>
          </cell>
          <cell r="E173" t="str">
            <v>078754335</v>
          </cell>
        </row>
        <row r="174">
          <cell r="A174">
            <v>1006537183</v>
          </cell>
          <cell r="B174" t="str">
            <v>RIVERA BERMUDEZ KEVEN ESTEBAN</v>
          </cell>
          <cell r="C174" t="str">
            <v>BANCOLOMBIA</v>
          </cell>
          <cell r="D174" t="str">
            <v>AHORROS</v>
          </cell>
          <cell r="E174" t="str">
            <v>80878625505</v>
          </cell>
        </row>
        <row r="175">
          <cell r="A175">
            <v>1107035926</v>
          </cell>
          <cell r="B175" t="str">
            <v xml:space="preserve">RODRIGUEZ CAMPO LEIDY JOHANA                                                                        </v>
          </cell>
          <cell r="C175" t="str">
            <v>BANCOLOMBIA</v>
          </cell>
          <cell r="D175" t="str">
            <v>AHORROS</v>
          </cell>
          <cell r="E175" t="str">
            <v>20516349809</v>
          </cell>
        </row>
        <row r="176">
          <cell r="A176">
            <v>79599256</v>
          </cell>
          <cell r="B176" t="str">
            <v>RODRIGUEZ CORTES CARLOS GONZALO</v>
          </cell>
          <cell r="C176" t="str">
            <v>BOGOTA</v>
          </cell>
          <cell r="D176" t="str">
            <v>CORRIENTE</v>
          </cell>
          <cell r="E176" t="str">
            <v>180546707</v>
          </cell>
        </row>
        <row r="177">
          <cell r="A177">
            <v>34564518</v>
          </cell>
          <cell r="B177" t="str">
            <v>RODRIGUEZ  SALAZAR  GAVI ALEJANDRA</v>
          </cell>
          <cell r="C177" t="str">
            <v>BANCOOMEVA</v>
          </cell>
          <cell r="D177" t="str">
            <v>AHORROS</v>
          </cell>
          <cell r="E177" t="str">
            <v>090102289501</v>
          </cell>
        </row>
        <row r="178">
          <cell r="A178">
            <v>66900253</v>
          </cell>
          <cell r="B178" t="str">
            <v xml:space="preserve">ROJAS CUARTAS ALEXANDRA    </v>
          </cell>
          <cell r="C178" t="str">
            <v>COLPATRIA</v>
          </cell>
          <cell r="D178" t="str">
            <v>AHORROS</v>
          </cell>
          <cell r="E178" t="str">
            <v>7152003728</v>
          </cell>
        </row>
        <row r="179">
          <cell r="A179">
            <v>900264491</v>
          </cell>
          <cell r="B179" t="str">
            <v>SAGO CONSULTORES S.A.S.</v>
          </cell>
          <cell r="C179" t="str">
            <v>OCCIDENTE</v>
          </cell>
          <cell r="D179" t="str">
            <v>CORRIENTE</v>
          </cell>
          <cell r="E179" t="str">
            <v>001513423</v>
          </cell>
        </row>
        <row r="180">
          <cell r="A180">
            <v>1143833398</v>
          </cell>
          <cell r="B180" t="str">
            <v>SANTANA LOPERA CAMILO</v>
          </cell>
          <cell r="C180" t="str">
            <v>BANCOLOMBIA</v>
          </cell>
          <cell r="D180" t="str">
            <v>AHORROS</v>
          </cell>
          <cell r="E180" t="str">
            <v>91207369999</v>
          </cell>
        </row>
        <row r="181">
          <cell r="A181">
            <v>1062286671</v>
          </cell>
          <cell r="B181" t="str">
            <v>SARRIA? ALMEIRA JESUS ANTONIO</v>
          </cell>
          <cell r="C181" t="str">
            <v>OCCIDENTE</v>
          </cell>
          <cell r="D181" t="str">
            <v>AHORROS</v>
          </cell>
          <cell r="E181" t="str">
            <v>043865898</v>
          </cell>
        </row>
        <row r="182">
          <cell r="A182">
            <v>76311869</v>
          </cell>
          <cell r="B182" t="str">
            <v>SARRIA VALVERDE FABIO EDUARDO</v>
          </cell>
          <cell r="C182" t="str">
            <v>BANCOLOMBIA</v>
          </cell>
          <cell r="D182" t="str">
            <v>AHORROS</v>
          </cell>
          <cell r="E182" t="str">
            <v>24200018237</v>
          </cell>
        </row>
        <row r="183">
          <cell r="A183">
            <v>6089614</v>
          </cell>
          <cell r="B183" t="str">
            <v xml:space="preserve">SEGURA PARRA ALVARO </v>
          </cell>
          <cell r="C183" t="str">
            <v>BANCOLOMBIA</v>
          </cell>
          <cell r="D183" t="str">
            <v>CORRIENTE</v>
          </cell>
          <cell r="E183" t="str">
            <v>82912428460</v>
          </cell>
        </row>
        <row r="184">
          <cell r="A184">
            <v>890312749</v>
          </cell>
          <cell r="B184" t="str">
            <v>SEGURIDAD ATLAS LTDA</v>
          </cell>
          <cell r="C184" t="str">
            <v>OCCIDENTE</v>
          </cell>
          <cell r="D184" t="str">
            <v>CORRIENTE</v>
          </cell>
          <cell r="E184" t="str">
            <v>001064013</v>
          </cell>
        </row>
        <row r="185">
          <cell r="A185">
            <v>901002137</v>
          </cell>
          <cell r="B185" t="str">
            <v>SEGURIDAD Y CAPITAL HUMANO SYCH SAS</v>
          </cell>
          <cell r="C185" t="str">
            <v>DAVIVIENDA</v>
          </cell>
          <cell r="D185" t="str">
            <v>CORRIENTE</v>
          </cell>
          <cell r="E185" t="str">
            <v>016269998569</v>
          </cell>
        </row>
        <row r="186">
          <cell r="A186">
            <v>860009578</v>
          </cell>
          <cell r="B186" t="str">
            <v>SEGUROS DEL ESTADO S.A</v>
          </cell>
          <cell r="C186" t="str">
            <v xml:space="preserve">BANCO DE BOGOTA </v>
          </cell>
          <cell r="D186" t="str">
            <v>CORRIENTE</v>
          </cell>
          <cell r="E186" t="str">
            <v>000003210</v>
          </cell>
        </row>
        <row r="187">
          <cell r="A187">
            <v>800169376</v>
          </cell>
          <cell r="B187" t="str">
            <v>SERVAGRO LTDA.</v>
          </cell>
          <cell r="C187" t="str">
            <v>DAVIVIENDA</v>
          </cell>
          <cell r="D187" t="str">
            <v>AHORROS</v>
          </cell>
          <cell r="E187" t="str">
            <v>0550196000159398</v>
          </cell>
        </row>
        <row r="188">
          <cell r="A188">
            <v>73183667</v>
          </cell>
          <cell r="B188" t="str">
            <v>SILVA MALAVER ALEX EDUARDO</v>
          </cell>
          <cell r="C188" t="str">
            <v>BOGOTA</v>
          </cell>
          <cell r="D188" t="str">
            <v>AHORROS</v>
          </cell>
          <cell r="E188" t="str">
            <v>869079277</v>
          </cell>
        </row>
        <row r="189">
          <cell r="A189">
            <v>76317895</v>
          </cell>
          <cell r="B189" t="str">
            <v xml:space="preserve">SILVA MERA MARIO ERNESTO  </v>
          </cell>
          <cell r="C189" t="str">
            <v>DAVIVIENDA</v>
          </cell>
          <cell r="D189" t="str">
            <v>AHORROS</v>
          </cell>
          <cell r="E189" t="str">
            <v>196170010413</v>
          </cell>
        </row>
        <row r="190">
          <cell r="A190">
            <v>901406794</v>
          </cell>
          <cell r="B190" t="str">
            <v>SMART COLD SAS</v>
          </cell>
          <cell r="C190" t="str">
            <v>BBVA</v>
          </cell>
          <cell r="D190" t="str">
            <v>AHORROS</v>
          </cell>
          <cell r="E190" t="str">
            <v>0227578200</v>
          </cell>
        </row>
        <row r="191">
          <cell r="A191">
            <v>890327497</v>
          </cell>
          <cell r="B191" t="str">
            <v>SOCIEDAD TELE EQUIPOS Y CIA. LTDA</v>
          </cell>
          <cell r="C191" t="str">
            <v>OCCIDENTE</v>
          </cell>
          <cell r="D191" t="str">
            <v>CORRIENTE</v>
          </cell>
          <cell r="E191" t="str">
            <v>073001943</v>
          </cell>
        </row>
        <row r="192">
          <cell r="A192">
            <v>16502194</v>
          </cell>
          <cell r="B192" t="str">
            <v xml:space="preserve">SOLANO RODRIGUEZ LUIS GERARDO                                                                       </v>
          </cell>
          <cell r="C192" t="str">
            <v>DAVIVIENDA</v>
          </cell>
          <cell r="D192" t="str">
            <v>AHORROS</v>
          </cell>
          <cell r="E192" t="str">
            <v>1570017970039750</v>
          </cell>
        </row>
        <row r="193">
          <cell r="A193">
            <v>817003377</v>
          </cell>
          <cell r="B193" t="str">
            <v xml:space="preserve">SOLO POR SERVICIO S EN C                                                                            </v>
          </cell>
          <cell r="C193" t="str">
            <v>DAVIVIENDA</v>
          </cell>
          <cell r="D193" t="str">
            <v>AHORROS</v>
          </cell>
          <cell r="E193" t="str">
            <v>196000771580</v>
          </cell>
        </row>
        <row r="194">
          <cell r="A194">
            <v>900753803</v>
          </cell>
          <cell r="B194" t="str">
            <v>SOUT AMERICA TECH SOLUTIONS SAS</v>
          </cell>
          <cell r="C194" t="str">
            <v>BBVA</v>
          </cell>
          <cell r="D194" t="str">
            <v>AHORROS</v>
          </cell>
          <cell r="E194" t="str">
            <v>578063695</v>
          </cell>
        </row>
        <row r="195">
          <cell r="A195">
            <v>900887105</v>
          </cell>
          <cell r="B195" t="str">
            <v>SMART PACIFIC S.A.S.</v>
          </cell>
          <cell r="C195" t="str">
            <v>DAVIVIENDA</v>
          </cell>
          <cell r="D195" t="str">
            <v>CORRIENTE</v>
          </cell>
          <cell r="E195" t="str">
            <v>100769998210</v>
          </cell>
        </row>
        <row r="196">
          <cell r="A196">
            <v>900950832</v>
          </cell>
          <cell r="B196" t="str">
            <v>TELEPRISMA SAS</v>
          </cell>
          <cell r="C196" t="str">
            <v>BANCOLOMBIA</v>
          </cell>
          <cell r="D196" t="str">
            <v>AHORROS</v>
          </cell>
          <cell r="E196" t="str">
            <v>63957253069</v>
          </cell>
        </row>
        <row r="197">
          <cell r="A197">
            <v>900068083</v>
          </cell>
          <cell r="B197" t="str">
            <v>TIERRANET LTDA</v>
          </cell>
          <cell r="C197" t="str">
            <v>BANCOLOMBIA</v>
          </cell>
          <cell r="D197" t="str">
            <v>CORRIENTE</v>
          </cell>
          <cell r="E197" t="str">
            <v>83826749050</v>
          </cell>
        </row>
        <row r="198">
          <cell r="A198">
            <v>1144151007</v>
          </cell>
          <cell r="B198" t="str">
            <v>TORO MORALES NATHALIA</v>
          </cell>
          <cell r="C198" t="str">
            <v>BANCOLOMBIA</v>
          </cell>
          <cell r="D198" t="str">
            <v>AHORROS</v>
          </cell>
          <cell r="E198" t="str">
            <v>71649803352</v>
          </cell>
        </row>
        <row r="199">
          <cell r="A199">
            <v>1107530067</v>
          </cell>
          <cell r="B199" t="str">
            <v>TORRES GUTIERREZ MARIA CAMILA</v>
          </cell>
          <cell r="C199" t="str">
            <v>DAVIVIENDA</v>
          </cell>
          <cell r="D199" t="str">
            <v>AHORROS</v>
          </cell>
          <cell r="E199" t="str">
            <v>0570016570414777</v>
          </cell>
        </row>
        <row r="200">
          <cell r="A200">
            <v>1062300157</v>
          </cell>
          <cell r="B200" t="str">
            <v>TORRES  TACHA  ANGIE TATIANA</v>
          </cell>
          <cell r="C200" t="str">
            <v>BANCOLOMBIA</v>
          </cell>
          <cell r="D200" t="str">
            <v>AHORROS</v>
          </cell>
          <cell r="E200" t="str">
            <v>83823870348</v>
          </cell>
        </row>
        <row r="201">
          <cell r="A201">
            <v>900361602</v>
          </cell>
          <cell r="B201" t="str">
            <v>TRACKING SOLUTIONS T.S.O S.A.S</v>
          </cell>
          <cell r="C201" t="str">
            <v>BANCOLOMBIA</v>
          </cell>
          <cell r="D201" t="str">
            <v>CORRIENTE</v>
          </cell>
          <cell r="E201" t="str">
            <v>74959759624</v>
          </cell>
        </row>
        <row r="202">
          <cell r="A202">
            <v>94510993</v>
          </cell>
          <cell r="B202" t="str">
            <v>TRUJILLO BONILLA JAIME ANDRES</v>
          </cell>
          <cell r="C202" t="str">
            <v>BANCOLOMBIA</v>
          </cell>
          <cell r="D202" t="str">
            <v>AHORROS</v>
          </cell>
          <cell r="E202" t="str">
            <v>91201890930</v>
          </cell>
        </row>
        <row r="203">
          <cell r="A203">
            <v>805006214</v>
          </cell>
          <cell r="B203" t="str">
            <v>TRULY NOLEN VALLE SA</v>
          </cell>
          <cell r="C203" t="str">
            <v>OCCIDENTE</v>
          </cell>
          <cell r="D203" t="str">
            <v>CORRIENTE</v>
          </cell>
          <cell r="E203" t="str">
            <v>073004145</v>
          </cell>
        </row>
        <row r="204">
          <cell r="A204">
            <v>901005725</v>
          </cell>
          <cell r="B204" t="str">
            <v>UNIDOS T.L. COMUNICACIONES S.A.S.</v>
          </cell>
          <cell r="C204" t="str">
            <v>BOGOTA</v>
          </cell>
          <cell r="D204" t="str">
            <v>CORRIENTE</v>
          </cell>
          <cell r="E204">
            <v>166304956</v>
          </cell>
        </row>
        <row r="205">
          <cell r="A205">
            <v>38559028</v>
          </cell>
          <cell r="B205" t="str">
            <v>URREA TABORDA JANETH</v>
          </cell>
          <cell r="C205" t="str">
            <v>DAVIVIENDA</v>
          </cell>
          <cell r="D205" t="str">
            <v>AHORROS</v>
          </cell>
          <cell r="E205" t="str">
            <v>0550019000032698</v>
          </cell>
        </row>
        <row r="206">
          <cell r="A206">
            <v>1130623590</v>
          </cell>
          <cell r="B206" t="str">
            <v>VALENCIA CAICEDO PEDRO NEL</v>
          </cell>
          <cell r="C206" t="str">
            <v>COLPATRIA</v>
          </cell>
          <cell r="D206" t="str">
            <v>AHORROS</v>
          </cell>
          <cell r="E206" t="str">
            <v>7652041427</v>
          </cell>
        </row>
        <row r="207">
          <cell r="A207">
            <v>1107529975</v>
          </cell>
          <cell r="B207" t="str">
            <v>VALENCIA TORRES KEVIN ANDRES</v>
          </cell>
          <cell r="C207" t="str">
            <v>DAVIVIENDA</v>
          </cell>
          <cell r="D207" t="str">
            <v>AHORROS</v>
          </cell>
          <cell r="E207" t="str">
            <v>012300055030</v>
          </cell>
        </row>
        <row r="208">
          <cell r="A208">
            <v>14890626</v>
          </cell>
          <cell r="B208" t="str">
            <v>VALENZUELA PARDO RICHARD EDUARDO</v>
          </cell>
          <cell r="C208" t="str">
            <v>COLPATRIA</v>
          </cell>
          <cell r="D208" t="str">
            <v>AHORROS</v>
          </cell>
          <cell r="E208" t="str">
            <v>005972016115</v>
          </cell>
        </row>
        <row r="209">
          <cell r="A209">
            <v>805017578</v>
          </cell>
          <cell r="B209" t="str">
            <v xml:space="preserve">VALLA VISION SAS                                                                                    </v>
          </cell>
          <cell r="C209" t="str">
            <v>AV VILLAS</v>
          </cell>
          <cell r="D209" t="str">
            <v>CORRIENTE</v>
          </cell>
          <cell r="E209" t="str">
            <v>103020913</v>
          </cell>
        </row>
        <row r="210">
          <cell r="A210">
            <v>80013003</v>
          </cell>
          <cell r="B210" t="str">
            <v xml:space="preserve">VERANO ANWAR ELI                                                                                    </v>
          </cell>
          <cell r="C210" t="str">
            <v>AV VILLAS</v>
          </cell>
          <cell r="D210" t="str">
            <v>AHORROS</v>
          </cell>
          <cell r="E210" t="str">
            <v>443751826</v>
          </cell>
        </row>
        <row r="211">
          <cell r="A211">
            <v>94362539</v>
          </cell>
          <cell r="B211" t="str">
            <v xml:space="preserve">VERGARA NU?EZ GINO                                                                                  </v>
          </cell>
          <cell r="C211" t="str">
            <v>BANCOLOMBIA</v>
          </cell>
          <cell r="D211" t="str">
            <v>AHORROS</v>
          </cell>
          <cell r="E211" t="str">
            <v>06274642848</v>
          </cell>
        </row>
        <row r="212">
          <cell r="A212">
            <v>14590286</v>
          </cell>
          <cell r="B212" t="str">
            <v xml:space="preserve">VIVEROS PRADO RAUL     </v>
          </cell>
          <cell r="C212" t="str">
            <v>BANCOLOMBIA</v>
          </cell>
          <cell r="D212" t="str">
            <v>AHORROS</v>
          </cell>
          <cell r="E212" t="str">
            <v>26595565790</v>
          </cell>
        </row>
        <row r="213">
          <cell r="A213">
            <v>901190277</v>
          </cell>
          <cell r="B213" t="str">
            <v xml:space="preserve">VOZIP BUSINESS OF TECHNOLOGY SAS  </v>
          </cell>
          <cell r="C213" t="str">
            <v>DAVIVIENDA</v>
          </cell>
          <cell r="D213" t="str">
            <v>AHORROS</v>
          </cell>
          <cell r="E213" t="str">
            <v>016570426946</v>
          </cell>
        </row>
        <row r="214">
          <cell r="A214">
            <v>900690988</v>
          </cell>
          <cell r="B214" t="str">
            <v>W.A EMPAQUES S.A.S.</v>
          </cell>
          <cell r="C214" t="str">
            <v>BANCOLOMBIA</v>
          </cell>
          <cell r="D214" t="str">
            <v>CORRIENTE</v>
          </cell>
          <cell r="E214" t="str">
            <v>83600010141</v>
          </cell>
        </row>
        <row r="215">
          <cell r="A215">
            <v>900933434</v>
          </cell>
          <cell r="B215" t="str">
            <v>WANDER TRAVEL VIAJES Y TURISMO SAS</v>
          </cell>
          <cell r="C215" t="str">
            <v>DAVIVIENDA</v>
          </cell>
          <cell r="D215" t="str">
            <v>AHORROS</v>
          </cell>
          <cell r="E215" t="str">
            <v>108900032484</v>
          </cell>
        </row>
        <row r="216">
          <cell r="A216">
            <v>901013150</v>
          </cell>
          <cell r="B216" t="str">
            <v>WORLD POS SOLUTIONS S.A.S.</v>
          </cell>
          <cell r="C216" t="str">
            <v>BANCOLOMBIA</v>
          </cell>
          <cell r="D216" t="str">
            <v>AHORROS</v>
          </cell>
          <cell r="E216" t="str">
            <v>17866422427</v>
          </cell>
        </row>
        <row r="217">
          <cell r="A217">
            <v>66939486</v>
          </cell>
          <cell r="B217" t="str">
            <v>YANEZ RODRIGUEZ ADRIANA</v>
          </cell>
          <cell r="C217" t="str">
            <v>BOGOTA</v>
          </cell>
          <cell r="D217" t="str">
            <v>AHORROS</v>
          </cell>
          <cell r="E217" t="str">
            <v>181232125</v>
          </cell>
        </row>
        <row r="218">
          <cell r="A218">
            <v>900968708</v>
          </cell>
          <cell r="B218" t="str">
            <v>COMERCIAL FERRETERA CORREA HERMANOS</v>
          </cell>
          <cell r="C218" t="str">
            <v>BANCOLOMBIA</v>
          </cell>
          <cell r="D218" t="str">
            <v>CORRIENTE</v>
          </cell>
          <cell r="E218">
            <v>86865019750</v>
          </cell>
        </row>
        <row r="219">
          <cell r="A219">
            <v>1061793315</v>
          </cell>
          <cell r="B219" t="str">
            <v>LUIS ENRIQUE UNI ROSERO</v>
          </cell>
          <cell r="C219" t="str">
            <v>BANCOLOMBIA</v>
          </cell>
          <cell r="D219" t="str">
            <v>AHORROS</v>
          </cell>
          <cell r="E219">
            <v>91231661587</v>
          </cell>
        </row>
        <row r="220">
          <cell r="A220">
            <v>901174726</v>
          </cell>
          <cell r="B220" t="str">
            <v xml:space="preserve">A.R.G. DISTRIBUCIONES &amp; TECNOLOGIA S.A.S.                                                           </v>
          </cell>
          <cell r="C220" t="str">
            <v>BANCOLOMBIA</v>
          </cell>
          <cell r="D220" t="str">
            <v>AHORROS</v>
          </cell>
          <cell r="E220">
            <v>75292969155</v>
          </cell>
        </row>
        <row r="221">
          <cell r="A221" t="str">
            <v>900604590</v>
          </cell>
          <cell r="B221" t="str">
            <v xml:space="preserve">P&amp;P SYSTEMS COLOMBIA S.A.S.  </v>
          </cell>
          <cell r="C221" t="str">
            <v>CAJA SOCIAL</v>
          </cell>
          <cell r="D221" t="str">
            <v>AHORROS</v>
          </cell>
          <cell r="E221">
            <v>24108192210</v>
          </cell>
        </row>
        <row r="222">
          <cell r="A222">
            <v>17658402</v>
          </cell>
          <cell r="B222" t="str">
            <v xml:space="preserve">PAJON TRIANA JOSE MIGEL   </v>
          </cell>
          <cell r="C222" t="str">
            <v>BANCOLOMBIA</v>
          </cell>
          <cell r="D222" t="str">
            <v>AHORRO</v>
          </cell>
          <cell r="E222" t="str">
            <v>91212051751</v>
          </cell>
        </row>
        <row r="223">
          <cell r="A223">
            <v>29123330</v>
          </cell>
          <cell r="B223" t="str">
            <v xml:space="preserve">GOMEZ MONTILLA EYINETH                                                                              </v>
          </cell>
          <cell r="C223" t="str">
            <v>BANCOLOMBIA</v>
          </cell>
          <cell r="D223" t="str">
            <v>AHORRO</v>
          </cell>
          <cell r="E223" t="str">
            <v>75875144499</v>
          </cell>
        </row>
        <row r="224">
          <cell r="A224">
            <v>38287506</v>
          </cell>
          <cell r="B224" t="str">
            <v>SOTO PERDOMO YASMIN</v>
          </cell>
          <cell r="C224" t="str">
            <v>BANCOLOMBIA</v>
          </cell>
          <cell r="D224" t="str">
            <v>AHORRO</v>
          </cell>
          <cell r="E224" t="str">
            <v>20534403683</v>
          </cell>
        </row>
        <row r="225">
          <cell r="A225">
            <v>900249043</v>
          </cell>
          <cell r="B225" t="str">
            <v xml:space="preserve">OPEN GROUP SAS                                                                       </v>
          </cell>
          <cell r="C225" t="str">
            <v>BANCOLOMBIA</v>
          </cell>
          <cell r="D225" t="str">
            <v>CORRIENTE</v>
          </cell>
          <cell r="E225" t="str">
            <v>75889012141</v>
          </cell>
        </row>
        <row r="226">
          <cell r="A226">
            <v>817000689</v>
          </cell>
          <cell r="B226" t="str">
            <v>INSTITUTO MUNICIPAL DEL DEPORTE Y LA RECREACION DE PUERTO TEJADA</v>
          </cell>
          <cell r="C226" t="str">
            <v>OCCIDENTE</v>
          </cell>
          <cell r="D226" t="str">
            <v>CORRIENTE</v>
          </cell>
          <cell r="E226" t="str">
            <v>097001788</v>
          </cell>
        </row>
        <row r="227">
          <cell r="A227">
            <v>900991717</v>
          </cell>
          <cell r="B227" t="str">
            <v xml:space="preserve">INFORTEC SOLUCIONES S.A.S. </v>
          </cell>
          <cell r="C227" t="str">
            <v>BANCOLOMBIA</v>
          </cell>
          <cell r="D227" t="str">
            <v>AHORRO</v>
          </cell>
          <cell r="E227">
            <v>85163604588</v>
          </cell>
        </row>
        <row r="228">
          <cell r="A228">
            <v>900604590</v>
          </cell>
          <cell r="B228" t="str">
            <v>P&amp;P SYSTEMS COLOMBIA S.A.S</v>
          </cell>
          <cell r="C228" t="str">
            <v>CAJA SOCIAL</v>
          </cell>
          <cell r="D228" t="str">
            <v>AHORRO</v>
          </cell>
          <cell r="E228">
            <v>24108192210</v>
          </cell>
        </row>
        <row r="229">
          <cell r="A229">
            <v>901121712</v>
          </cell>
          <cell r="B229" t="str">
            <v>CLUB DEPORTIVO ATLETICO CAUCA FUTSAL</v>
          </cell>
          <cell r="C229" t="str">
            <v>BANCOLOMBIA</v>
          </cell>
          <cell r="D229" t="str">
            <v>AHORRO</v>
          </cell>
          <cell r="E229">
            <v>86887980332</v>
          </cell>
        </row>
        <row r="230">
          <cell r="A230">
            <v>1107074654</v>
          </cell>
          <cell r="B230" t="str">
            <v>JESUS ALBERTO TRUJILLO LONDOÑO</v>
          </cell>
          <cell r="C230" t="str">
            <v>BANCOLOMBIA</v>
          </cell>
          <cell r="D230" t="str">
            <v>AHORRO</v>
          </cell>
          <cell r="E230">
            <v>91232256082</v>
          </cell>
        </row>
        <row r="231">
          <cell r="A231">
            <v>1151945929</v>
          </cell>
          <cell r="B231" t="str">
            <v>DAYAN STEPHANY LUGO GONZALEZ</v>
          </cell>
          <cell r="C231" t="str">
            <v>BANCOLOMBIA</v>
          </cell>
          <cell r="D231" t="str">
            <v>AHORRO</v>
          </cell>
          <cell r="E231">
            <v>83624912791</v>
          </cell>
        </row>
        <row r="232">
          <cell r="A232">
            <v>34609530</v>
          </cell>
          <cell r="B232" t="str">
            <v>ADRIANA GRIJALBA SANDOVAL Y/O DOBLE A CELL COMUNICACIONES</v>
          </cell>
          <cell r="C232" t="str">
            <v>BANCOLOMBIA</v>
          </cell>
          <cell r="D232" t="str">
            <v>AHORRO</v>
          </cell>
          <cell r="E232">
            <v>83855285633</v>
          </cell>
        </row>
        <row r="233">
          <cell r="A233">
            <v>10543248</v>
          </cell>
          <cell r="B233" t="str">
            <v>ELMER RICARDO GUEVARA BURBANO</v>
          </cell>
          <cell r="C233" t="str">
            <v>BANCOLOMBIA</v>
          </cell>
          <cell r="D233" t="str">
            <v>CORRIENTE</v>
          </cell>
          <cell r="E233">
            <v>86806963381</v>
          </cell>
        </row>
        <row r="234">
          <cell r="A234">
            <v>901222382</v>
          </cell>
          <cell r="B234" t="str">
            <v>L&amp;M SOLUCIONES PUBLICITARIAS SAS</v>
          </cell>
          <cell r="C234" t="str">
            <v>BANCOLOMBIA</v>
          </cell>
          <cell r="D234" t="str">
            <v>AHORRO</v>
          </cell>
          <cell r="E234">
            <v>39500014010</v>
          </cell>
        </row>
        <row r="235">
          <cell r="A235">
            <v>817000499</v>
          </cell>
          <cell r="B235" t="str">
            <v>CONVERTIDORA DE PAPEL DEL CAUCA S.A</v>
          </cell>
          <cell r="C235" t="str">
            <v>OCCIDENTE</v>
          </cell>
          <cell r="D235" t="str">
            <v>AHORROS</v>
          </cell>
          <cell r="E235" t="str">
            <v>024812810</v>
          </cell>
        </row>
        <row r="236">
          <cell r="A236">
            <v>1115093400</v>
          </cell>
          <cell r="B236" t="str">
            <v>JUAN FELIPE ANGULO LENIS</v>
          </cell>
          <cell r="C236" t="str">
            <v>BANCOLOMBIA</v>
          </cell>
          <cell r="D236" t="str">
            <v>AHORROS</v>
          </cell>
          <cell r="E236">
            <v>84837868849</v>
          </cell>
        </row>
        <row r="237">
          <cell r="A237">
            <v>900218859</v>
          </cell>
          <cell r="B237" t="str">
            <v>CAMPANARIO CENTRO COMERCIAL</v>
          </cell>
          <cell r="C237" t="str">
            <v>AV-VILLAS</v>
          </cell>
          <cell r="D237" t="str">
            <v>CORRIENTE</v>
          </cell>
          <cell r="E237" t="str">
            <v>0253007207</v>
          </cell>
        </row>
        <row r="238">
          <cell r="A238">
            <v>891502366</v>
          </cell>
          <cell r="B238" t="str">
            <v>JUNTA CIVICA CULTURAL DE POPAYAN</v>
          </cell>
          <cell r="C238" t="str">
            <v>AV-VILLAS</v>
          </cell>
          <cell r="D238" t="str">
            <v>AHORROS</v>
          </cell>
          <cell r="E238">
            <v>253018428</v>
          </cell>
        </row>
        <row r="239">
          <cell r="A239">
            <v>10300561</v>
          </cell>
          <cell r="B239" t="str">
            <v>JOAN FERNANDO RUIZ GONZALEZ Y/O MULTISERVICIOS JR POPAYÁN</v>
          </cell>
          <cell r="C239" t="str">
            <v>BANCOLOMBIA</v>
          </cell>
          <cell r="D239" t="str">
            <v>AHORROS</v>
          </cell>
          <cell r="E239">
            <v>91216855685</v>
          </cell>
        </row>
        <row r="240">
          <cell r="A240">
            <v>10495156</v>
          </cell>
          <cell r="B240" t="str">
            <v>DIEGO HERNÁN CAPOTE CABRERA</v>
          </cell>
          <cell r="C240" t="str">
            <v>BANCOLOMBIA</v>
          </cell>
          <cell r="D240" t="str">
            <v>AHORROS</v>
          </cell>
          <cell r="E240">
            <v>83887002277</v>
          </cell>
        </row>
        <row r="241">
          <cell r="A241">
            <v>900422614</v>
          </cell>
          <cell r="B241" t="str">
            <v>EXPERIAN COLOMBIA SA</v>
          </cell>
          <cell r="C241" t="str">
            <v>BANCOLOMBIA</v>
          </cell>
          <cell r="D241" t="str">
            <v>AHORROS</v>
          </cell>
          <cell r="E241"/>
        </row>
        <row r="242">
          <cell r="A242">
            <v>25288077</v>
          </cell>
          <cell r="B242" t="str">
            <v>YAMILED CAMPO ZAMBRANO</v>
          </cell>
          <cell r="C242" t="str">
            <v>BANCOLOMBIA</v>
          </cell>
          <cell r="D242" t="str">
            <v>AHORROS</v>
          </cell>
          <cell r="E242">
            <v>86800000620</v>
          </cell>
        </row>
        <row r="243">
          <cell r="A243">
            <v>1061787752</v>
          </cell>
          <cell r="B243" t="str">
            <v>TANIA BOLAÑOS TROCHEZ</v>
          </cell>
          <cell r="C243" t="str">
            <v>BANCOLOMBIA</v>
          </cell>
          <cell r="D243" t="str">
            <v>AHORROS</v>
          </cell>
          <cell r="E243">
            <v>26100000377</v>
          </cell>
        </row>
        <row r="244">
          <cell r="A244">
            <v>10695790</v>
          </cell>
          <cell r="B244" t="str">
            <v>CARLOS ANDRÉS CADENA MUÑOZ</v>
          </cell>
          <cell r="C244" t="str">
            <v>BANCOLOMBIA</v>
          </cell>
          <cell r="D244" t="str">
            <v>AHORROS</v>
          </cell>
          <cell r="E244" t="str">
            <v>06505748954</v>
          </cell>
        </row>
        <row r="245">
          <cell r="A245">
            <v>10525512</v>
          </cell>
          <cell r="B245" t="str">
            <v>GONZALO SEBASTIÁN CAMPO MEJÍA</v>
          </cell>
          <cell r="C245" t="str">
            <v>BANCOLOMBIA</v>
          </cell>
          <cell r="D245" t="str">
            <v>AHORROS</v>
          </cell>
          <cell r="E245">
            <v>86832095526</v>
          </cell>
        </row>
        <row r="246">
          <cell r="A246">
            <v>34321761</v>
          </cell>
          <cell r="B246" t="str">
            <v>LUZ HELENA CAPOTE Y/O METAL DEKOR</v>
          </cell>
          <cell r="C246" t="str">
            <v>BANCOLOMBIA</v>
          </cell>
          <cell r="D246" t="str">
            <v>AHORROS</v>
          </cell>
          <cell r="E246">
            <v>24200022633</v>
          </cell>
        </row>
        <row r="247">
          <cell r="A247">
            <v>830095669</v>
          </cell>
          <cell r="B247" t="str">
            <v>INDUSTRIAS METALICAS CRUZ COLOMBIA SAS</v>
          </cell>
          <cell r="C247" t="str">
            <v>BANCOLOMBIA</v>
          </cell>
          <cell r="D247" t="str">
            <v>CORRIENTE</v>
          </cell>
          <cell r="E247">
            <v>13108482666</v>
          </cell>
        </row>
        <row r="248">
          <cell r="A248">
            <v>10547443</v>
          </cell>
          <cell r="B248" t="str">
            <v>LUÍS ALBERTO JOAQUI COLLAZOS</v>
          </cell>
          <cell r="C248" t="str">
            <v>BANCOLOMBIA</v>
          </cell>
          <cell r="D248" t="str">
            <v>AHORROS</v>
          </cell>
          <cell r="E248">
            <v>86831323207</v>
          </cell>
        </row>
        <row r="249">
          <cell r="A249">
            <v>901523841</v>
          </cell>
          <cell r="B249" t="str">
            <v>MULTICOMERCIO DEL PACIFICO SAS</v>
          </cell>
          <cell r="C249" t="str">
            <v>BANCOLOMBIA</v>
          </cell>
          <cell r="D249" t="str">
            <v>AHORROS</v>
          </cell>
          <cell r="E249">
            <v>82900004221</v>
          </cell>
        </row>
        <row r="250">
          <cell r="A250">
            <v>900730644</v>
          </cell>
          <cell r="B250" t="str">
            <v>DUIS SAS</v>
          </cell>
          <cell r="C250" t="str">
            <v>OCCIDENTE</v>
          </cell>
          <cell r="D250" t="str">
            <v>AHORROS</v>
          </cell>
          <cell r="E250" t="str">
            <v>010957793</v>
          </cell>
        </row>
        <row r="251">
          <cell r="A251">
            <v>1061765969</v>
          </cell>
          <cell r="B251" t="str">
            <v>JUAN DAVID AREVALO TEJADA</v>
          </cell>
          <cell r="C251" t="str">
            <v>BANCOLOMBIA</v>
          </cell>
          <cell r="D251" t="str">
            <v>AHORROS</v>
          </cell>
          <cell r="E251">
            <v>24218686601</v>
          </cell>
        </row>
        <row r="252">
          <cell r="A252">
            <v>800108425</v>
          </cell>
          <cell r="B252" t="str">
            <v>ASOCIACIÓN COLOMBIANA DE LAS MICROEMPRESAS</v>
          </cell>
          <cell r="C252" t="str">
            <v>AV-VILLAS</v>
          </cell>
          <cell r="D252" t="str">
            <v>CORRIENTE</v>
          </cell>
          <cell r="E252">
            <v>251294047</v>
          </cell>
        </row>
        <row r="253">
          <cell r="A253">
            <v>805008762</v>
          </cell>
          <cell r="B253" t="str">
            <v>SIMON COLOMBIA LTDA</v>
          </cell>
          <cell r="C253" t="str">
            <v>BANCOLOMBIA</v>
          </cell>
          <cell r="D253" t="str">
            <v>AHORROS</v>
          </cell>
          <cell r="E253">
            <v>30097025788</v>
          </cell>
        </row>
        <row r="254">
          <cell r="A254">
            <v>94447751</v>
          </cell>
          <cell r="B254" t="str">
            <v>HECTOR FABIO BARRERO VARGAS</v>
          </cell>
          <cell r="C254" t="str">
            <v>BANCOLOMBIA</v>
          </cell>
          <cell r="D254" t="str">
            <v>AHORROS</v>
          </cell>
          <cell r="E254">
            <v>91200228672</v>
          </cell>
        </row>
        <row r="255">
          <cell r="A255">
            <v>817000499</v>
          </cell>
          <cell r="B255" t="str">
            <v>CONVERTIDORA DE PAPEL DEL CAUCA SA</v>
          </cell>
          <cell r="C255" t="str">
            <v>OCCIDENTE</v>
          </cell>
          <cell r="D255" t="str">
            <v>AHORROS</v>
          </cell>
          <cell r="E255" t="str">
            <v>02481281</v>
          </cell>
        </row>
        <row r="256">
          <cell r="A256">
            <v>6881451</v>
          </cell>
          <cell r="B256" t="str">
            <v>SEGUNDO ENRIQUE DORIA MARTINEZ</v>
          </cell>
          <cell r="C256" t="str">
            <v>BANCAMIA</v>
          </cell>
          <cell r="D256" t="str">
            <v>AHORROS</v>
          </cell>
          <cell r="E256" t="str">
            <v>3290020330420011</v>
          </cell>
        </row>
        <row r="257">
          <cell r="A257">
            <v>900663051</v>
          </cell>
          <cell r="B257" t="str">
            <v>MUNDO LED ILUMINACIÓN SAS</v>
          </cell>
          <cell r="C257" t="str">
            <v>BANCOLOMBIA</v>
          </cell>
          <cell r="D257" t="str">
            <v>AHORROS</v>
          </cell>
          <cell r="E257" t="str">
            <v>10314399019</v>
          </cell>
        </row>
        <row r="258">
          <cell r="A258">
            <v>1053783250</v>
          </cell>
          <cell r="B258" t="str">
            <v>GUSTAVO LOPEZ BEDOYA</v>
          </cell>
          <cell r="C258" t="str">
            <v>BBVA</v>
          </cell>
          <cell r="D258" t="str">
            <v>AHORROS</v>
          </cell>
          <cell r="E258">
            <v>537372351</v>
          </cell>
        </row>
        <row r="259">
          <cell r="A259">
            <v>76046852</v>
          </cell>
          <cell r="B259" t="str">
            <v xml:space="preserve">ANDERSON ANDRÉS DINAS MINA </v>
          </cell>
          <cell r="C259" t="str">
            <v>BOGOTÁ</v>
          </cell>
          <cell r="D259" t="str">
            <v>AHORROS</v>
          </cell>
          <cell r="E259">
            <v>486499999</v>
          </cell>
        </row>
        <row r="260">
          <cell r="A260">
            <v>76330885</v>
          </cell>
          <cell r="B260" t="str">
            <v>HECTOR RODRIGO QUINAYAS IJAJI</v>
          </cell>
          <cell r="C260" t="str">
            <v xml:space="preserve">CAJA SOCIAL </v>
          </cell>
          <cell r="D260" t="str">
            <v>AHORROS</v>
          </cell>
          <cell r="E260">
            <v>24082013352</v>
          </cell>
        </row>
        <row r="261">
          <cell r="A261">
            <v>80366168</v>
          </cell>
          <cell r="B261" t="str">
            <v>EDGAR ALFREDO JULIO MALDONADO</v>
          </cell>
          <cell r="C261" t="str">
            <v>BANCOLOMBIA</v>
          </cell>
          <cell r="D261" t="str">
            <v>AHORROS</v>
          </cell>
          <cell r="E261" t="str">
            <v>22767481474</v>
          </cell>
        </row>
        <row r="262">
          <cell r="A262">
            <v>10308237</v>
          </cell>
          <cell r="B262" t="str">
            <v>JOSÉ OROZCO</v>
          </cell>
          <cell r="C262" t="str">
            <v>BOGOTÁ</v>
          </cell>
          <cell r="D262" t="str">
            <v>AHORROS</v>
          </cell>
          <cell r="E262" t="str">
            <v>520083924</v>
          </cell>
        </row>
        <row r="263">
          <cell r="A263">
            <v>901624101</v>
          </cell>
          <cell r="B263" t="str">
            <v>MULTI STORE GROUP  SAS</v>
          </cell>
          <cell r="C263" t="str">
            <v>BANCOLOMBIA</v>
          </cell>
          <cell r="D263" t="str">
            <v>AHORROS</v>
          </cell>
          <cell r="E263" t="str">
            <v>81000003035</v>
          </cell>
        </row>
        <row r="264">
          <cell r="A264">
            <v>31981088</v>
          </cell>
          <cell r="B264" t="str">
            <v>MARÍA CRISTHINA SEGURA</v>
          </cell>
          <cell r="C264" t="str">
            <v>DAVIVIENDA</v>
          </cell>
          <cell r="D264" t="str">
            <v>CORRIENTE</v>
          </cell>
          <cell r="E264" t="str">
            <v>016060009939</v>
          </cell>
        </row>
        <row r="265">
          <cell r="A265">
            <v>901279351</v>
          </cell>
          <cell r="B265" t="str">
            <v>VILLA SERVICIOS DEL CAUCA SAS</v>
          </cell>
          <cell r="C265" t="str">
            <v>BANCO AGRARIO</v>
          </cell>
          <cell r="D265" t="str">
            <v>AHORROS</v>
          </cell>
          <cell r="E265" t="str">
            <v>4-692-10-12123-2</v>
          </cell>
        </row>
        <row r="266">
          <cell r="A266">
            <v>34513357</v>
          </cell>
          <cell r="B266" t="str">
            <v xml:space="preserve">BETTY EUGENIA LOPEZ </v>
          </cell>
          <cell r="C266" t="str">
            <v>BANCO DE BOGOTÁ</v>
          </cell>
          <cell r="D266" t="str">
            <v>AHORROS</v>
          </cell>
          <cell r="E266" t="str">
            <v>254276827</v>
          </cell>
        </row>
        <row r="267">
          <cell r="A267">
            <v>860028580</v>
          </cell>
          <cell r="B267" t="str">
            <v xml:space="preserve">DISPAPELES SAS </v>
          </cell>
          <cell r="C267" t="str">
            <v>BANCOLOMBIA</v>
          </cell>
          <cell r="D267" t="str">
            <v>CORRIENTE</v>
          </cell>
          <cell r="E267" t="str">
            <v>04211194414</v>
          </cell>
        </row>
        <row r="268">
          <cell r="A268">
            <v>900443694</v>
          </cell>
          <cell r="B268" t="str">
            <v>TOY PARK SAS</v>
          </cell>
          <cell r="C268"/>
          <cell r="D268"/>
          <cell r="E268"/>
        </row>
        <row r="269">
          <cell r="A269">
            <v>10543248</v>
          </cell>
          <cell r="B269" t="str">
            <v>ELMER RICARDO GUEVARA BURBANO</v>
          </cell>
          <cell r="C269" t="str">
            <v>BANCOLOMBIA</v>
          </cell>
          <cell r="D269" t="str">
            <v>CORRIENTE</v>
          </cell>
          <cell r="E269" t="str">
            <v>86896963381</v>
          </cell>
        </row>
        <row r="270">
          <cell r="A270">
            <v>901623752</v>
          </cell>
          <cell r="B270" t="str">
            <v>MUNOZ SANCLEMENTE HERMANOS SAS</v>
          </cell>
          <cell r="C270" t="str">
            <v>BANCOLOMBIA</v>
          </cell>
          <cell r="D270" t="str">
            <v>AHORROS</v>
          </cell>
          <cell r="E270" t="str">
            <v>86800006306</v>
          </cell>
        </row>
        <row r="271">
          <cell r="A271">
            <v>1130591314</v>
          </cell>
          <cell r="B271" t="str">
            <v>HERNANDEZ NANEZ ZULMA</v>
          </cell>
          <cell r="C271" t="str">
            <v>BANCOLOMBIA</v>
          </cell>
          <cell r="D271" t="str">
            <v>AHORROS</v>
          </cell>
          <cell r="E271">
            <v>80398338981</v>
          </cell>
        </row>
        <row r="272">
          <cell r="A272">
            <v>1126906632</v>
          </cell>
          <cell r="B272" t="str">
            <v>MARIO ARNOBI ZARTA</v>
          </cell>
          <cell r="C272" t="str">
            <v>DAVIVIENDA</v>
          </cell>
          <cell r="D272" t="str">
            <v>AHORROS</v>
          </cell>
          <cell r="E272" t="str">
            <v>550011800167238</v>
          </cell>
        </row>
        <row r="273">
          <cell r="A273">
            <v>10483943</v>
          </cell>
          <cell r="B273" t="str">
            <v>EZEQUILE HENAO</v>
          </cell>
          <cell r="C273" t="str">
            <v>BOGOTÁ</v>
          </cell>
          <cell r="D273" t="str">
            <v>AHORROS</v>
          </cell>
          <cell r="E273">
            <v>111278636</v>
          </cell>
        </row>
        <row r="274">
          <cell r="A274">
            <v>14679864</v>
          </cell>
          <cell r="B274" t="str">
            <v>MAY JOHATHAN QUIÑONEZ VALDERRUTEN</v>
          </cell>
          <cell r="C274" t="str">
            <v>CAJA SOCIAL</v>
          </cell>
          <cell r="D274" t="str">
            <v>AHORROS</v>
          </cell>
          <cell r="E274" t="str">
            <v>240849888661</v>
          </cell>
        </row>
        <row r="275">
          <cell r="A275">
            <v>901499897</v>
          </cell>
          <cell r="B275" t="str">
            <v xml:space="preserve"> FABRICA DE CALZADO MACK MODA SAS</v>
          </cell>
          <cell r="C275" t="str">
            <v>BANCOLOMBIA</v>
          </cell>
          <cell r="D275" t="str">
            <v>CORRIENTE</v>
          </cell>
          <cell r="E275" t="str">
            <v>06200000976</v>
          </cell>
        </row>
        <row r="276">
          <cell r="A276">
            <v>10306164</v>
          </cell>
          <cell r="B276" t="str">
            <v>WILMAR EDUARDO MUÑOZ BENAVIDES</v>
          </cell>
          <cell r="C276" t="str">
            <v xml:space="preserve">BANCOLOMBIA </v>
          </cell>
          <cell r="D276" t="str">
            <v>AHORROS</v>
          </cell>
          <cell r="E276">
            <v>26100059583</v>
          </cell>
        </row>
        <row r="277">
          <cell r="A277">
            <v>10291765</v>
          </cell>
          <cell r="B277" t="str">
            <v xml:space="preserve">JUAN DAVID OLAVE </v>
          </cell>
          <cell r="C277" t="str">
            <v xml:space="preserve">BANCOLOMBIA </v>
          </cell>
          <cell r="D277" t="str">
            <v>AHORROS</v>
          </cell>
          <cell r="E277">
            <v>88500017206</v>
          </cell>
        </row>
        <row r="278">
          <cell r="A278">
            <v>805008762</v>
          </cell>
          <cell r="B278" t="str">
            <v>SIMON COLOMBIA LTDA</v>
          </cell>
          <cell r="C278" t="str">
            <v xml:space="preserve">BANCOLOMBIA </v>
          </cell>
          <cell r="D278" t="str">
            <v>AHORROS</v>
          </cell>
          <cell r="E278">
            <v>30097025788</v>
          </cell>
        </row>
        <row r="279">
          <cell r="A279">
            <v>1059980999</v>
          </cell>
          <cell r="B279" t="str">
            <v>EDER ANDRES CARBONERO RODRIGUEZ</v>
          </cell>
          <cell r="C279" t="str">
            <v xml:space="preserve">BANCOLOMBIA </v>
          </cell>
          <cell r="D279" t="str">
            <v>AHORROS</v>
          </cell>
          <cell r="E279">
            <v>83853928910</v>
          </cell>
        </row>
        <row r="280">
          <cell r="A280">
            <v>900711595</v>
          </cell>
          <cell r="B280" t="str">
            <v>ARVAL E HIJOS SAS</v>
          </cell>
          <cell r="C280" t="str">
            <v>BANCO AV VILLAS</v>
          </cell>
          <cell r="D280" t="str">
            <v>AHORROS</v>
          </cell>
          <cell r="E280">
            <v>102032505</v>
          </cell>
        </row>
        <row r="281">
          <cell r="A281">
            <v>6022193</v>
          </cell>
          <cell r="B281" t="str">
            <v>JOSUE LASSO GUZMAN</v>
          </cell>
          <cell r="C281" t="str">
            <v>BANCO DE OCCIDENTE</v>
          </cell>
          <cell r="D281" t="str">
            <v>AHORROS</v>
          </cell>
          <cell r="E281" t="str">
            <v>073836769</v>
          </cell>
        </row>
        <row r="282">
          <cell r="A282">
            <v>1061793315</v>
          </cell>
          <cell r="B282" t="str">
            <v>LUIS ENRIQUE UNI ROSERO</v>
          </cell>
          <cell r="C282" t="str">
            <v>BANCOLOMBIA</v>
          </cell>
          <cell r="D282" t="str">
            <v>AHORROS</v>
          </cell>
          <cell r="E282">
            <v>91231661587</v>
          </cell>
        </row>
        <row r="283">
          <cell r="A283">
            <v>800062270</v>
          </cell>
          <cell r="B283" t="str">
            <v>LITOTAMARA S A</v>
          </cell>
          <cell r="C283" t="str">
            <v>BANCOLOMBIA</v>
          </cell>
          <cell r="D283" t="str">
            <v>CORRIENTE</v>
          </cell>
          <cell r="E283" t="str">
            <v>06612297303</v>
          </cell>
        </row>
        <row r="284">
          <cell r="A284">
            <v>900434234</v>
          </cell>
          <cell r="B284" t="str">
            <v xml:space="preserve">OFICAUCA SAS </v>
          </cell>
          <cell r="C284" t="str">
            <v>BANCOLOMBIA</v>
          </cell>
          <cell r="D284" t="str">
            <v>AHORROS</v>
          </cell>
          <cell r="E284">
            <v>24272877021</v>
          </cell>
        </row>
        <row r="285">
          <cell r="A285">
            <v>1151966541</v>
          </cell>
          <cell r="B285" t="str">
            <v>VALENTINA LOPEZ GIRALDO</v>
          </cell>
          <cell r="C285" t="str">
            <v>COLPATRIA</v>
          </cell>
          <cell r="D285" t="str">
            <v>AHORROS</v>
          </cell>
          <cell r="E285">
            <v>502021073</v>
          </cell>
        </row>
        <row r="286">
          <cell r="A286">
            <v>900951463</v>
          </cell>
          <cell r="B286" t="str">
            <v>SISTEMAS INDUSTRIALES Y SEGURIDAD OCUPACIONAL</v>
          </cell>
          <cell r="C286" t="str">
            <v>BANCOLOMBIA</v>
          </cell>
          <cell r="D286" t="str">
            <v>CORRIENTE</v>
          </cell>
          <cell r="E286" t="str">
            <v>06457423525</v>
          </cell>
        </row>
        <row r="287">
          <cell r="A287">
            <v>900352786</v>
          </cell>
          <cell r="B287" t="str">
            <v>RISKS INTERNATIONAL SAS</v>
          </cell>
          <cell r="C287" t="str">
            <v>DAVIVIENDA</v>
          </cell>
          <cell r="D287" t="str">
            <v>AHORROS</v>
          </cell>
          <cell r="E287" t="str">
            <v>0570009270361877</v>
          </cell>
        </row>
        <row r="288">
          <cell r="A288">
            <v>901562091</v>
          </cell>
          <cell r="B288" t="str">
            <v>COMERCIALIZADORA TIENDAS Y TODO ZOMAC SAS</v>
          </cell>
          <cell r="C288" t="str">
            <v>BANCOLOMBIA</v>
          </cell>
          <cell r="D288" t="str">
            <v>AHORROS</v>
          </cell>
          <cell r="E288">
            <v>83800003356</v>
          </cell>
        </row>
        <row r="289">
          <cell r="A289">
            <v>901238631</v>
          </cell>
          <cell r="B289" t="str">
            <v>IMPRESOS WINDOR SAS</v>
          </cell>
          <cell r="C289" t="str">
            <v>BANCOLOMBIA</v>
          </cell>
          <cell r="D289" t="str">
            <v>AHORROS</v>
          </cell>
          <cell r="E289">
            <v>75200024427</v>
          </cell>
        </row>
        <row r="290">
          <cell r="A290">
            <v>900325432</v>
          </cell>
          <cell r="B290" t="str">
            <v xml:space="preserve"> ZINKO COLOMBIA SAS</v>
          </cell>
          <cell r="C290" t="str">
            <v>DAVIVIENDA</v>
          </cell>
          <cell r="D290" t="str">
            <v>CORRIENTE</v>
          </cell>
          <cell r="E290" t="str">
            <v>012269995689</v>
          </cell>
        </row>
        <row r="291">
          <cell r="A291">
            <v>16948477</v>
          </cell>
          <cell r="B291" t="str">
            <v>YAKSIN FERNEY ARISTIZABAL RAMIREZ</v>
          </cell>
          <cell r="C291" t="str">
            <v xml:space="preserve">BANCOLOMBIA </v>
          </cell>
          <cell r="D291" t="str">
            <v>CORRIENTE</v>
          </cell>
          <cell r="E291">
            <v>83700000265</v>
          </cell>
        </row>
        <row r="292">
          <cell r="A292">
            <v>15906070</v>
          </cell>
          <cell r="B292" t="str">
            <v>DIEGO DAVILA MONTES</v>
          </cell>
          <cell r="C292" t="str">
            <v>BANCO CAJA SOCIAL</v>
          </cell>
          <cell r="D292" t="str">
            <v>CORRIENTE</v>
          </cell>
          <cell r="E292">
            <v>21002865969</v>
          </cell>
        </row>
        <row r="293">
          <cell r="A293">
            <v>76296528</v>
          </cell>
          <cell r="B293" t="str">
            <v xml:space="preserve">ORLANDO ASTUDILLO ZUNIGA </v>
          </cell>
          <cell r="C293" t="str">
            <v>DAVIVIENDA</v>
          </cell>
          <cell r="D293" t="str">
            <v>AHORROS</v>
          </cell>
          <cell r="E293" t="str">
            <v>196000770921</v>
          </cell>
        </row>
        <row r="294">
          <cell r="A294">
            <v>900026210</v>
          </cell>
          <cell r="B294" t="str">
            <v>FOMENTO IPS SAS</v>
          </cell>
          <cell r="C294" t="str">
            <v>BBVA</v>
          </cell>
          <cell r="D294" t="str">
            <v>CORRIENTE</v>
          </cell>
          <cell r="E294" t="str">
            <v>0690019492</v>
          </cell>
        </row>
        <row r="295">
          <cell r="A295">
            <v>805030163</v>
          </cell>
          <cell r="B295" t="str">
            <v>FERREINDUSTRIAL LTDA</v>
          </cell>
          <cell r="C295" t="str">
            <v>BOGOTA</v>
          </cell>
          <cell r="D295" t="str">
            <v>CORRIENTE</v>
          </cell>
          <cell r="E295">
            <v>484205166</v>
          </cell>
        </row>
        <row r="296">
          <cell r="A296">
            <v>901463163</v>
          </cell>
          <cell r="B296" t="str">
            <v>FLORISTERIA Y EVENTOS PENSAMIENTOS SAS</v>
          </cell>
          <cell r="C296" t="str">
            <v xml:space="preserve">CAJA SOCIAL </v>
          </cell>
          <cell r="D296" t="str">
            <v>AHORROS</v>
          </cell>
          <cell r="E296">
            <v>24106589584</v>
          </cell>
        </row>
        <row r="297">
          <cell r="A297">
            <v>901268699</v>
          </cell>
          <cell r="B297" t="str">
            <v>AC INGENIERIA DE REDES SAS</v>
          </cell>
          <cell r="C297" t="str">
            <v>DAVIVIENDA</v>
          </cell>
          <cell r="D297" t="str">
            <v>AHORROS</v>
          </cell>
          <cell r="E297" t="str">
            <v>196100167648</v>
          </cell>
        </row>
        <row r="298">
          <cell r="A298">
            <v>830001445</v>
          </cell>
          <cell r="B298" t="str">
            <v>AGROINSUMOS ALFA SAS</v>
          </cell>
          <cell r="C298" t="str">
            <v xml:space="preserve">BANCOLOMBIA </v>
          </cell>
          <cell r="D298" t="str">
            <v>CORRIENTE</v>
          </cell>
          <cell r="E298" t="str">
            <v>04200144506</v>
          </cell>
        </row>
        <row r="299">
          <cell r="A299">
            <v>38971985</v>
          </cell>
          <cell r="B299" t="str">
            <v>FLORALBA CELIS DE LOPEZ</v>
          </cell>
          <cell r="C299" t="str">
            <v>BANCOLOMBIA</v>
          </cell>
          <cell r="D299" t="str">
            <v>AHORROS</v>
          </cell>
          <cell r="E299">
            <v>71096356638</v>
          </cell>
        </row>
        <row r="300">
          <cell r="A300">
            <v>1151961780</v>
          </cell>
          <cell r="B300" t="str">
            <v>LAURA MARCELA SALAZAR CARVAJAL</v>
          </cell>
          <cell r="C300" t="str">
            <v>BANCOLOMBIA</v>
          </cell>
          <cell r="D300" t="str">
            <v>AHORROS</v>
          </cell>
          <cell r="E300">
            <v>51498686170</v>
          </cell>
        </row>
        <row r="301">
          <cell r="A301">
            <v>900495731</v>
          </cell>
          <cell r="B301" t="str">
            <v xml:space="preserve">ARMONIA Y COLOR DECORACIONES </v>
          </cell>
          <cell r="C301" t="str">
            <v xml:space="preserve">BANCOLOMBIA </v>
          </cell>
          <cell r="D301" t="str">
            <v>AHORROS</v>
          </cell>
          <cell r="E301">
            <v>23179867419</v>
          </cell>
        </row>
        <row r="302">
          <cell r="A302">
            <v>900252727</v>
          </cell>
          <cell r="B302" t="str">
            <v>DISTRIBUCIONES HOYOSTOOLS SAS</v>
          </cell>
          <cell r="C302" t="str">
            <v xml:space="preserve">BANCOLOMBIA </v>
          </cell>
          <cell r="D302" t="str">
            <v>CORRIENTE</v>
          </cell>
          <cell r="E302">
            <v>80347319115</v>
          </cell>
        </row>
        <row r="303">
          <cell r="A303">
            <v>900533443</v>
          </cell>
          <cell r="B303" t="str">
            <v xml:space="preserve"> COMERCIALIZADORA DE MEDIOS MAS</v>
          </cell>
          <cell r="C303" t="str">
            <v xml:space="preserve">BANCOLOMBIA </v>
          </cell>
          <cell r="D303" t="str">
            <v>AHORROS</v>
          </cell>
          <cell r="E303">
            <v>81285192803</v>
          </cell>
        </row>
        <row r="304">
          <cell r="A304">
            <v>76308379</v>
          </cell>
          <cell r="B304" t="str">
            <v>MEZA ASTUDILLO JOSE REY</v>
          </cell>
          <cell r="C304" t="str">
            <v>BANCO AGRARIO</v>
          </cell>
          <cell r="D304" t="str">
            <v>AHORROS</v>
          </cell>
          <cell r="E304" t="str">
            <v>469180252434</v>
          </cell>
        </row>
        <row r="305">
          <cell r="A305">
            <v>1061761553</v>
          </cell>
          <cell r="B305" t="str">
            <v>ANDRES OLIVER URBANO PALTA</v>
          </cell>
          <cell r="C305" t="str">
            <v xml:space="preserve">BANCOLOMBIA </v>
          </cell>
          <cell r="D305" t="str">
            <v>AHORROS</v>
          </cell>
          <cell r="E305">
            <v>86877327541</v>
          </cell>
        </row>
        <row r="306">
          <cell r="A306">
            <v>1061732106</v>
          </cell>
          <cell r="B306" t="str">
            <v>SAMBONI GAVIRIA SONIA FERNANDA</v>
          </cell>
          <cell r="C306" t="str">
            <v>BANCO CAJA SOCIAL</v>
          </cell>
          <cell r="D306" t="str">
            <v>AHORROS</v>
          </cell>
          <cell r="E306">
            <v>24114378088</v>
          </cell>
        </row>
        <row r="307">
          <cell r="A307">
            <v>76236358</v>
          </cell>
          <cell r="B307" t="str">
            <v xml:space="preserve">TULANDE URREA JHON JAIRO </v>
          </cell>
          <cell r="C307" t="str">
            <v xml:space="preserve">BANCOLOMBIA </v>
          </cell>
          <cell r="D307" t="str">
            <v>AHORROS</v>
          </cell>
          <cell r="E307">
            <v>26195765102</v>
          </cell>
        </row>
        <row r="308">
          <cell r="A308">
            <v>1144054419</v>
          </cell>
          <cell r="B308" t="str">
            <v xml:space="preserve">OSCAR DANIEL PASOS MANQUILLO </v>
          </cell>
          <cell r="C308" t="str">
            <v>DAVIVIENDA</v>
          </cell>
          <cell r="D308" t="str">
            <v>AHORROS</v>
          </cell>
          <cell r="E308" t="str">
            <v>0550488414600251</v>
          </cell>
        </row>
        <row r="309">
          <cell r="A309">
            <v>72056074</v>
          </cell>
          <cell r="B309" t="str">
            <v>ELWING DE LA CRUZ MENDOZA</v>
          </cell>
          <cell r="C309" t="str">
            <v xml:space="preserve">BANCOLOMBIA </v>
          </cell>
          <cell r="D309" t="str">
            <v>AHORROS</v>
          </cell>
          <cell r="E309" t="str">
            <v>26127187893</v>
          </cell>
        </row>
        <row r="310">
          <cell r="A310">
            <v>901001605</v>
          </cell>
          <cell r="B310" t="str">
            <v>100% DIGITAL SAS</v>
          </cell>
          <cell r="C310" t="str">
            <v xml:space="preserve">BANCOLOMBIA </v>
          </cell>
          <cell r="D310" t="str">
            <v>AHORROS</v>
          </cell>
          <cell r="E310" t="str">
            <v>68200000792</v>
          </cell>
        </row>
        <row r="311">
          <cell r="A311">
            <v>25516915</v>
          </cell>
          <cell r="B311" t="str">
            <v>MARÍA HEIDY LÓPEZ MARÍN</v>
          </cell>
          <cell r="C311" t="str">
            <v xml:space="preserve">BANCOLOMBIA </v>
          </cell>
          <cell r="D311" t="str">
            <v>AHORROS</v>
          </cell>
          <cell r="E311" t="str">
            <v>26130005551</v>
          </cell>
        </row>
        <row r="312">
          <cell r="A312">
            <v>901431562</v>
          </cell>
          <cell r="B312" t="str">
            <v>PIAGGIO SPORTE SAS</v>
          </cell>
          <cell r="C312" t="str">
            <v xml:space="preserve">BANCOLOMBIA </v>
          </cell>
          <cell r="D312" t="str">
            <v>CORRIENTE</v>
          </cell>
          <cell r="E312" t="str">
            <v>80700000894</v>
          </cell>
        </row>
        <row r="313">
          <cell r="A313">
            <v>805002619</v>
          </cell>
          <cell r="B313" t="str">
            <v>PLÁSTICOS CALIBRADOS SAS</v>
          </cell>
          <cell r="C313" t="str">
            <v xml:space="preserve">BANCOLOMBIA </v>
          </cell>
          <cell r="D313" t="str">
            <v>CORRIENTE</v>
          </cell>
          <cell r="E313" t="str">
            <v>06107925817</v>
          </cell>
        </row>
        <row r="314">
          <cell r="A314">
            <v>16723991</v>
          </cell>
          <cell r="B314" t="str">
            <v>JUAN CARLOS SABI</v>
          </cell>
          <cell r="C314" t="str">
            <v xml:space="preserve">BANCOLOMBIA </v>
          </cell>
          <cell r="D314" t="str">
            <v>AHORROS</v>
          </cell>
          <cell r="E314" t="str">
            <v>30387282622</v>
          </cell>
        </row>
        <row r="315">
          <cell r="A315">
            <v>1130616065</v>
          </cell>
          <cell r="B315" t="str">
            <v>EDWIN ELIUD RÁMIREZ OROZCO</v>
          </cell>
          <cell r="C315" t="str">
            <v xml:space="preserve">BANCOLOMBIA </v>
          </cell>
          <cell r="D315" t="str">
            <v>AHORROS</v>
          </cell>
          <cell r="E315" t="str">
            <v>86830772911</v>
          </cell>
        </row>
        <row r="316">
          <cell r="A316">
            <v>34537020</v>
          </cell>
          <cell r="B316" t="str">
            <v xml:space="preserve">DIONICIA AMPARO GÓMEZ COLLAZOS </v>
          </cell>
          <cell r="C316" t="str">
            <v xml:space="preserve">BANCOLOMBIA </v>
          </cell>
          <cell r="D316" t="str">
            <v>AHORROS</v>
          </cell>
          <cell r="E316" t="str">
            <v>24225062877</v>
          </cell>
        </row>
        <row r="317">
          <cell r="A317">
            <v>1113306845</v>
          </cell>
          <cell r="B317" t="str">
            <v>ESMERALDA CARVAJAL CIFUENTES</v>
          </cell>
          <cell r="C317" t="str">
            <v>NEQUI</v>
          </cell>
          <cell r="D317" t="str">
            <v>BANCOLOMBIA</v>
          </cell>
          <cell r="E317" t="str">
            <v>3213837281</v>
          </cell>
        </row>
        <row r="318">
          <cell r="A318">
            <v>900054558</v>
          </cell>
          <cell r="B318" t="str">
            <v>IDENTIFICACIÓN DE COLOMBIA SAS</v>
          </cell>
          <cell r="C318" t="str">
            <v xml:space="preserve">BANCOLOMBIA </v>
          </cell>
          <cell r="D318" t="str">
            <v>AHORROS</v>
          </cell>
          <cell r="E318" t="str">
            <v>30390026596</v>
          </cell>
        </row>
        <row r="319">
          <cell r="A319">
            <v>34596026</v>
          </cell>
          <cell r="B319" t="str">
            <v>CARMEN LORENA LOPEZ SALAZAR</v>
          </cell>
          <cell r="C319" t="str">
            <v xml:space="preserve">BANCOLOMBIA </v>
          </cell>
          <cell r="D319" t="str">
            <v>CORRIENTE</v>
          </cell>
          <cell r="E319" t="str">
            <v>83825133040</v>
          </cell>
        </row>
        <row r="320">
          <cell r="A320">
            <v>900533443</v>
          </cell>
          <cell r="B320" t="str">
            <v>COMERCIALIZADORA DE MEDIOS MAS</v>
          </cell>
          <cell r="C320" t="str">
            <v xml:space="preserve">BANCOLOMBIA </v>
          </cell>
          <cell r="D320" t="str">
            <v>AHORROS</v>
          </cell>
          <cell r="E320" t="str">
            <v>81285192803</v>
          </cell>
        </row>
        <row r="321">
          <cell r="A321">
            <v>900980593</v>
          </cell>
          <cell r="B321" t="str">
            <v>ASOCIACIÓN COMUNITARIA SANTANDER STEREO</v>
          </cell>
          <cell r="C321" t="str">
            <v>DAVIVIENDA</v>
          </cell>
          <cell r="D321" t="str">
            <v>AHORROS</v>
          </cell>
          <cell r="E321" t="str">
            <v>011800151158</v>
          </cell>
        </row>
        <row r="322">
          <cell r="A322">
            <v>34329791</v>
          </cell>
          <cell r="B322" t="str">
            <v>ANGELA MARÍA SOLARTE ERAZO</v>
          </cell>
          <cell r="C322" t="str">
            <v xml:space="preserve">BANCOLOMBIA </v>
          </cell>
          <cell r="D322" t="str">
            <v>AHORROS</v>
          </cell>
          <cell r="E322" t="str">
            <v>86867358961</v>
          </cell>
        </row>
        <row r="323">
          <cell r="A323">
            <v>800049104</v>
          </cell>
          <cell r="B323" t="str">
            <v>LABORATORIO CLÍNICO COLMEDICOS IPS SAS</v>
          </cell>
          <cell r="C323" t="str">
            <v xml:space="preserve">BANCOLOMBIA </v>
          </cell>
          <cell r="D323" t="str">
            <v>AHORROS</v>
          </cell>
          <cell r="E323" t="str">
            <v>10041994934</v>
          </cell>
        </row>
        <row r="324">
          <cell r="A324">
            <v>1061713437</v>
          </cell>
          <cell r="B324" t="str">
            <v>YONATHAN ZAFRA RIVERA</v>
          </cell>
          <cell r="C324" t="str">
            <v xml:space="preserve">BANCOLOMBIA </v>
          </cell>
          <cell r="D324" t="str">
            <v>AHORROS</v>
          </cell>
          <cell r="E324" t="str">
            <v>912300673-21</v>
          </cell>
        </row>
        <row r="325">
          <cell r="A325">
            <v>1059358725</v>
          </cell>
          <cell r="B325" t="str">
            <v>ADRIANA JIMENA BOLAÑOS LUNA</v>
          </cell>
          <cell r="C325" t="str">
            <v>DAVIVIENDA</v>
          </cell>
          <cell r="D325" t="str">
            <v>AHORROS</v>
          </cell>
          <cell r="E325" t="str">
            <v>3155012903</v>
          </cell>
        </row>
        <row r="326">
          <cell r="A326">
            <v>1061762331</v>
          </cell>
          <cell r="B326" t="str">
            <v>MARTÍN FELIPE ARCOS OSORIO</v>
          </cell>
          <cell r="C326" t="str">
            <v xml:space="preserve">BANCOLOMBIA </v>
          </cell>
          <cell r="D326" t="str">
            <v>AHORROS</v>
          </cell>
          <cell r="E326">
            <v>86700001195</v>
          </cell>
        </row>
        <row r="327">
          <cell r="A327">
            <v>1058968845</v>
          </cell>
          <cell r="B327" t="str">
            <v>HECTOR JAVIER ORTEGA CALVACHE</v>
          </cell>
          <cell r="C327" t="str">
            <v xml:space="preserve">BANCOLOMBIA </v>
          </cell>
          <cell r="D327" t="str">
            <v>AHORROS</v>
          </cell>
          <cell r="E327">
            <v>91201099272</v>
          </cell>
        </row>
        <row r="328">
          <cell r="A328">
            <v>900216802</v>
          </cell>
          <cell r="B328" t="str">
            <v>CALZARENAS SA</v>
          </cell>
          <cell r="C328" t="str">
            <v>OCCIDENTE</v>
          </cell>
          <cell r="D328" t="str">
            <v>CORRIENTE</v>
          </cell>
          <cell r="E328" t="str">
            <v>011047172</v>
          </cell>
        </row>
        <row r="329">
          <cell r="A329">
            <v>900754404</v>
          </cell>
          <cell r="B329" t="str">
            <v>AUTORED JM SAS</v>
          </cell>
          <cell r="C329" t="str">
            <v xml:space="preserve">BANCOLOMBIA </v>
          </cell>
          <cell r="D329" t="str">
            <v>AHORROS</v>
          </cell>
          <cell r="E329" t="str">
            <v>75000002921</v>
          </cell>
        </row>
        <row r="330">
          <cell r="A330">
            <v>10308744</v>
          </cell>
          <cell r="B330" t="str">
            <v>GERMÁNRICARDO  CASTRO PEÑA</v>
          </cell>
          <cell r="C330" t="str">
            <v xml:space="preserve">BANCOLOMBIA </v>
          </cell>
          <cell r="D330" t="str">
            <v>AHORROS</v>
          </cell>
          <cell r="E330" t="str">
            <v>86813088462</v>
          </cell>
        </row>
        <row r="331">
          <cell r="A331">
            <v>16637326</v>
          </cell>
          <cell r="B331" t="str">
            <v xml:space="preserve">DIEGO ARANA VELEZ Y/O A FUMIGAR POPAYÁN </v>
          </cell>
          <cell r="C331" t="str">
            <v>DAVIVIENDA</v>
          </cell>
          <cell r="D331" t="str">
            <v>AHORROS</v>
          </cell>
          <cell r="E331" t="str">
            <v>197070062850</v>
          </cell>
        </row>
        <row r="332">
          <cell r="A332">
            <v>817004708</v>
          </cell>
          <cell r="B332" t="str">
            <v xml:space="preserve">FUNDACIÓN ARGELIA </v>
          </cell>
          <cell r="C332" t="str">
            <v xml:space="preserve">BANCOLOMBIA </v>
          </cell>
          <cell r="D332" t="str">
            <v>AHORROS</v>
          </cell>
          <cell r="E332" t="str">
            <v>06533662992</v>
          </cell>
        </row>
        <row r="333">
          <cell r="A333">
            <v>76324103</v>
          </cell>
          <cell r="B333" t="str">
            <v>JULIÁN ANDRÉS CERÓN</v>
          </cell>
          <cell r="C333" t="str">
            <v>BOGOTÁ</v>
          </cell>
          <cell r="D333" t="str">
            <v>AHORROS</v>
          </cell>
          <cell r="E333" t="str">
            <v>817005986</v>
          </cell>
        </row>
        <row r="334">
          <cell r="A334">
            <v>1115062460</v>
          </cell>
          <cell r="B334" t="str">
            <v>JORGE ANDRÉS HENAO ZAMUDIO</v>
          </cell>
          <cell r="C334" t="str">
            <v xml:space="preserve">BANCOLOMBIA </v>
          </cell>
          <cell r="D334" t="str">
            <v>AHORROS</v>
          </cell>
          <cell r="E334" t="str">
            <v>06059864813</v>
          </cell>
        </row>
        <row r="335">
          <cell r="A335">
            <v>79053660</v>
          </cell>
          <cell r="B335" t="str">
            <v>CARLOS ALFONSO RIVAS BERNAL</v>
          </cell>
          <cell r="C335" t="str">
            <v xml:space="preserve">BANCOLOMBIA </v>
          </cell>
          <cell r="D335" t="str">
            <v>AHORROS</v>
          </cell>
          <cell r="E335" t="str">
            <v>20575878194</v>
          </cell>
        </row>
        <row r="336">
          <cell r="A336">
            <v>901095203</v>
          </cell>
          <cell r="B336" t="str">
            <v>MODULAR SU OFICINA SU IMAGEN</v>
          </cell>
          <cell r="C336" t="str">
            <v>OCCIDENTE</v>
          </cell>
          <cell r="D336" t="str">
            <v>CORRIENTE</v>
          </cell>
          <cell r="E336" t="str">
            <v>017867789</v>
          </cell>
        </row>
        <row r="337">
          <cell r="A337">
            <v>1061769149</v>
          </cell>
          <cell r="B337" t="str">
            <v>KATHERINE ROMERO FRANCO</v>
          </cell>
          <cell r="C337" t="str">
            <v xml:space="preserve">BANCOLOMBIA </v>
          </cell>
          <cell r="D337" t="str">
            <v>AHORROS</v>
          </cell>
          <cell r="E337" t="str">
            <v>86890386948</v>
          </cell>
        </row>
        <row r="338">
          <cell r="A338">
            <v>800196002</v>
          </cell>
          <cell r="B338" t="str">
            <v>ASC ELECTRONICA SA</v>
          </cell>
          <cell r="C338" t="str">
            <v xml:space="preserve">BANCOLOMBIA </v>
          </cell>
          <cell r="D338" t="str">
            <v>CORRIENTE</v>
          </cell>
          <cell r="E338" t="str">
            <v>70605514158</v>
          </cell>
        </row>
        <row r="339">
          <cell r="A339">
            <v>890915475</v>
          </cell>
          <cell r="B339" t="str">
            <v>EMPAQUETADURAS Y EMPAQUES S.A.</v>
          </cell>
          <cell r="C339" t="str">
            <v>OCCIDENTE</v>
          </cell>
          <cell r="D339" t="str">
            <v>CORRIENTE</v>
          </cell>
          <cell r="E339" t="str">
            <v>023007628</v>
          </cell>
        </row>
        <row r="340">
          <cell r="A340">
            <v>900451027</v>
          </cell>
          <cell r="B340" t="str">
            <v>JESATEX SAS</v>
          </cell>
          <cell r="C340" t="str">
            <v xml:space="preserve">BANCOLOMBIA </v>
          </cell>
          <cell r="D340" t="str">
            <v>AHORROS</v>
          </cell>
          <cell r="E340" t="str">
            <v>80375659950</v>
          </cell>
        </row>
        <row r="341">
          <cell r="A341">
            <v>901695519</v>
          </cell>
          <cell r="B341" t="str">
            <v>HDS CONSULTORES SAS</v>
          </cell>
          <cell r="C341" t="str">
            <v xml:space="preserve">BANCOLOMBIA </v>
          </cell>
          <cell r="D341" t="str">
            <v>AHORROS</v>
          </cell>
          <cell r="E341" t="str">
            <v>86800008141</v>
          </cell>
        </row>
        <row r="342">
          <cell r="A342">
            <v>900815535</v>
          </cell>
          <cell r="B342" t="str">
            <v>FRUPO ESPECIALIZADO EN SEGURIDAD PRIVADA</v>
          </cell>
          <cell r="C342" t="str">
            <v xml:space="preserve">BANCOLOMBIA </v>
          </cell>
          <cell r="D342" t="str">
            <v>CORRIENTE</v>
          </cell>
          <cell r="E342" t="str">
            <v>82364452566</v>
          </cell>
        </row>
        <row r="343">
          <cell r="A343">
            <v>805000301</v>
          </cell>
          <cell r="B343" t="str">
            <v xml:space="preserve">CLUB CAMPESTRE LOS ANDES </v>
          </cell>
          <cell r="C343" t="str">
            <v xml:space="preserve">BANCOLOMBIA </v>
          </cell>
          <cell r="D343" t="str">
            <v>AHORROS</v>
          </cell>
          <cell r="E343" t="str">
            <v>07730607169</v>
          </cell>
        </row>
        <row r="344">
          <cell r="A344">
            <v>4615991</v>
          </cell>
          <cell r="B344" t="str">
            <v>DEIBI ANDRÉS OTERO VELASCO</v>
          </cell>
          <cell r="C344" t="str">
            <v xml:space="preserve">BANCOLOMBIA </v>
          </cell>
          <cell r="D344" t="str">
            <v>AHORROS</v>
          </cell>
          <cell r="E344" t="str">
            <v>86821197262</v>
          </cell>
        </row>
        <row r="345">
          <cell r="A345">
            <v>890900608</v>
          </cell>
          <cell r="B345" t="str">
            <v xml:space="preserve">ALMACENES ÉXITO </v>
          </cell>
          <cell r="C345" t="str">
            <v xml:space="preserve">BANCOLOMBIA </v>
          </cell>
          <cell r="D345" t="str">
            <v>CORRIENTE</v>
          </cell>
          <cell r="E345" t="str">
            <v>00181455098</v>
          </cell>
        </row>
        <row r="346">
          <cell r="A346">
            <v>31975576</v>
          </cell>
          <cell r="B346" t="str">
            <v>MARÍA FERNANDA CASTILLO PEREZ</v>
          </cell>
          <cell r="C346" t="str">
            <v xml:space="preserve">BANCOLOMBIA </v>
          </cell>
          <cell r="D346" t="str">
            <v>AHORROS</v>
          </cell>
          <cell r="E346" t="str">
            <v>30385239057</v>
          </cell>
        </row>
        <row r="347">
          <cell r="A347">
            <v>1112099876</v>
          </cell>
          <cell r="B347" t="str">
            <v>JULIÁN LÓPEZ RÁMIREZ</v>
          </cell>
          <cell r="C347" t="str">
            <v xml:space="preserve">BANCOLOMBIA </v>
          </cell>
          <cell r="D347" t="str">
            <v>AHORROS</v>
          </cell>
          <cell r="E347" t="str">
            <v>76294666199</v>
          </cell>
        </row>
        <row r="348">
          <cell r="A348">
            <v>805016429</v>
          </cell>
          <cell r="B348" t="str">
            <v>ENERGÍA CONTROLADA</v>
          </cell>
          <cell r="C348" t="str">
            <v>DAVIVIENDA</v>
          </cell>
          <cell r="D348" t="str">
            <v>CORRIENTE</v>
          </cell>
          <cell r="E348" t="str">
            <v>017669999561</v>
          </cell>
        </row>
        <row r="349">
          <cell r="A349">
            <v>9801672</v>
          </cell>
          <cell r="B349" t="str">
            <v>RODRIGO ANTONIO SALAZAR PEREZ</v>
          </cell>
          <cell r="C349" t="str">
            <v>OCCIDENTE</v>
          </cell>
          <cell r="D349" t="str">
            <v>AHORROS</v>
          </cell>
          <cell r="E349" t="str">
            <v>043865856</v>
          </cell>
        </row>
        <row r="350">
          <cell r="A350">
            <v>1126906632</v>
          </cell>
          <cell r="B350" t="str">
            <v>MARIO ARNOBI ZARTA</v>
          </cell>
          <cell r="C350" t="str">
            <v>DAVIVIENDA</v>
          </cell>
          <cell r="D350" t="str">
            <v>AHORROS</v>
          </cell>
          <cell r="E350" t="str">
            <v>0550011800167238</v>
          </cell>
        </row>
        <row r="351">
          <cell r="A351">
            <v>39778736</v>
          </cell>
          <cell r="B351" t="str">
            <v>AMANDA PATRICIA SÁNCHEZ JARAMILLO Y/O INVERSIONES V&amp;P (901365115)</v>
          </cell>
          <cell r="C351" t="str">
            <v xml:space="preserve">BANCOLOMBIA </v>
          </cell>
          <cell r="D351" t="str">
            <v>AHORROS</v>
          </cell>
          <cell r="E351" t="str">
            <v>83884161323</v>
          </cell>
        </row>
        <row r="352">
          <cell r="A352">
            <v>1192744509</v>
          </cell>
          <cell r="B352" t="str">
            <v>GABRIELA CALAMBAS PACHÓN</v>
          </cell>
          <cell r="C352" t="str">
            <v xml:space="preserve">BANCOLOMBIA </v>
          </cell>
          <cell r="D352" t="str">
            <v>AHORROS</v>
          </cell>
          <cell r="E352" t="str">
            <v>91246582268</v>
          </cell>
        </row>
        <row r="353">
          <cell r="A353">
            <v>10479999</v>
          </cell>
          <cell r="B353" t="str">
            <v>JESÚS MARÍA GARCÍA FIGUEROA</v>
          </cell>
          <cell r="C353" t="str">
            <v xml:space="preserve">BANCOLOMBIA </v>
          </cell>
          <cell r="D353" t="str">
            <v>CORRIENTE</v>
          </cell>
          <cell r="E353" t="str">
            <v>83815574920</v>
          </cell>
        </row>
        <row r="354">
          <cell r="A354">
            <v>1061712460</v>
          </cell>
          <cell r="B354" t="str">
            <v xml:space="preserve">CESAR DAVID SOTELO MOLANO </v>
          </cell>
          <cell r="C354" t="str">
            <v xml:space="preserve">BANCOLOMBIA </v>
          </cell>
          <cell r="D354" t="str">
            <v>AHORROS</v>
          </cell>
          <cell r="E354" t="str">
            <v>86800002163</v>
          </cell>
        </row>
        <row r="355">
          <cell r="A355">
            <v>1062086427</v>
          </cell>
          <cell r="B355" t="str">
            <v>MARIO ALBERTO PACHONGO CHILO/ ORGANIZACIÓN UYWE´S (900428474)</v>
          </cell>
          <cell r="C355" t="str">
            <v xml:space="preserve">BANCOLOMBIA </v>
          </cell>
          <cell r="D355" t="str">
            <v>AHORRO A LA MANO</v>
          </cell>
          <cell r="E355" t="str">
            <v>03143824903</v>
          </cell>
        </row>
        <row r="356">
          <cell r="A356">
            <v>29681101</v>
          </cell>
          <cell r="B356" t="str">
            <v>ORIANA ALEJANDRA CASTILLO CADAVID</v>
          </cell>
          <cell r="C356" t="str">
            <v>BBVA</v>
          </cell>
          <cell r="D356" t="str">
            <v>AHORROS</v>
          </cell>
          <cell r="E356" t="str">
            <v>690441431</v>
          </cell>
        </row>
        <row r="357">
          <cell r="A357">
            <v>891580024</v>
          </cell>
          <cell r="B357" t="str">
            <v xml:space="preserve">FUNDACIÓN JUNTA PERMANENTE PRO SEMANA SANTA </v>
          </cell>
          <cell r="C357" t="str">
            <v>BANCO POPULAR</v>
          </cell>
          <cell r="D357" t="str">
            <v>CORRIENTE</v>
          </cell>
          <cell r="E357" t="str">
            <v>110290165125</v>
          </cell>
        </row>
        <row r="358">
          <cell r="A358">
            <v>10593556</v>
          </cell>
          <cell r="B358" t="str">
            <v>CARLOS JULIÁN CAMPOS MARTINEZ</v>
          </cell>
          <cell r="C358" t="str">
            <v xml:space="preserve">BANCOLOMBIA </v>
          </cell>
          <cell r="D358" t="str">
            <v>AHORROS</v>
          </cell>
          <cell r="E358" t="str">
            <v>19511835952</v>
          </cell>
        </row>
        <row r="359">
          <cell r="A359">
            <v>901236470</v>
          </cell>
          <cell r="B359" t="str">
            <v>RVSTIMENTO SAS</v>
          </cell>
          <cell r="C359" t="str">
            <v xml:space="preserve">BANCOLOMBIA </v>
          </cell>
          <cell r="D359" t="str">
            <v>CORRIENTE</v>
          </cell>
          <cell r="E359" t="str">
            <v>26500012141</v>
          </cell>
        </row>
        <row r="360">
          <cell r="A360">
            <v>1059907510</v>
          </cell>
          <cell r="B360" t="str">
            <v>DIANA PAOLA AROCA CUADRADO</v>
          </cell>
          <cell r="C360" t="str">
            <v>BANCAMÍA</v>
          </cell>
          <cell r="D360" t="str">
            <v>AHORROS</v>
          </cell>
          <cell r="E360" t="str">
            <v>6150063352040011</v>
          </cell>
        </row>
        <row r="361">
          <cell r="A361">
            <v>1000216044</v>
          </cell>
          <cell r="B361" t="str">
            <v>DANIEL FELIPE NIETO HERNÁNDEZ</v>
          </cell>
          <cell r="C361" t="str">
            <v xml:space="preserve">BANCOLOMBIA </v>
          </cell>
          <cell r="D361" t="str">
            <v>AHORROS</v>
          </cell>
          <cell r="E361" t="str">
            <v>60502747099</v>
          </cell>
        </row>
        <row r="362">
          <cell r="A362">
            <v>10694262</v>
          </cell>
          <cell r="B362" t="str">
            <v>CARLOS ANDRÉS ARIAS GÓMEZ</v>
          </cell>
          <cell r="C362" t="str">
            <v xml:space="preserve">BANCOLOMBIA </v>
          </cell>
          <cell r="D362" t="str">
            <v>AHORROS</v>
          </cell>
          <cell r="E362" t="str">
            <v>06572671575</v>
          </cell>
        </row>
        <row r="363">
          <cell r="A363">
            <v>34445433</v>
          </cell>
          <cell r="B363" t="str">
            <v xml:space="preserve">NANCY LUCIA MEZA OSPINA </v>
          </cell>
          <cell r="C363" t="str">
            <v xml:space="preserve">BANCOLOMBIA </v>
          </cell>
          <cell r="D363" t="str">
            <v>AHORROS</v>
          </cell>
          <cell r="E363" t="str">
            <v>06083614402</v>
          </cell>
        </row>
        <row r="364">
          <cell r="A364">
            <v>901277005</v>
          </cell>
          <cell r="B364" t="str">
            <v>CENTRO COMERCIAL TERRAPLAZA POPAYÁN</v>
          </cell>
          <cell r="C364" t="str">
            <v>DAVIVIENDA</v>
          </cell>
          <cell r="D364" t="str">
            <v>AHORROS</v>
          </cell>
          <cell r="E364" t="str">
            <v>194400007432</v>
          </cell>
        </row>
        <row r="365">
          <cell r="A365">
            <v>900314989</v>
          </cell>
          <cell r="B365" t="str">
            <v>CONTRATO HUMANO SAS</v>
          </cell>
          <cell r="C365" t="str">
            <v xml:space="preserve">CAJA SOCIAL </v>
          </cell>
          <cell r="D365" t="str">
            <v>CORRIENTE</v>
          </cell>
          <cell r="E365" t="str">
            <v>21003076685</v>
          </cell>
        </row>
        <row r="366">
          <cell r="A366">
            <v>815001055</v>
          </cell>
          <cell r="B366" t="str">
            <v>MICRONET SAS</v>
          </cell>
          <cell r="C366" t="str">
            <v>BANCO DE OCCIDENTE</v>
          </cell>
          <cell r="D366" t="str">
            <v>CORRIENTE</v>
          </cell>
          <cell r="E366" t="str">
            <v>038082335</v>
          </cell>
        </row>
        <row r="367">
          <cell r="A367">
            <v>76315962</v>
          </cell>
          <cell r="B367" t="str">
            <v xml:space="preserve">NESTOR LIBARDO SOLIS </v>
          </cell>
          <cell r="C367" t="str">
            <v xml:space="preserve">DAVIVIENDA </v>
          </cell>
          <cell r="D367" t="str">
            <v xml:space="preserve">AHORROS </v>
          </cell>
          <cell r="E367" t="str">
            <v>0550196000746442</v>
          </cell>
        </row>
        <row r="368">
          <cell r="A368">
            <v>1143965556</v>
          </cell>
          <cell r="B368" t="str">
            <v xml:space="preserve">KATERIN JOHANNA CARMONA </v>
          </cell>
          <cell r="C368" t="str">
            <v xml:space="preserve">DAVIVIENDA </v>
          </cell>
          <cell r="D368" t="str">
            <v xml:space="preserve">AHORROS </v>
          </cell>
          <cell r="E368" t="str">
            <v>0550488422461381</v>
          </cell>
        </row>
        <row r="369">
          <cell r="A369">
            <v>891502277</v>
          </cell>
          <cell r="B369" t="str">
            <v>COOPERTATIVA MULTIACTIVA DE APORTE Y CRÉDITO CRECIENDP</v>
          </cell>
          <cell r="C369" t="str">
            <v>BANCO DE BOGOTA</v>
          </cell>
          <cell r="D369" t="str">
            <v xml:space="preserve">AHORROS </v>
          </cell>
          <cell r="E369" t="str">
            <v>520677832</v>
          </cell>
        </row>
        <row r="370">
          <cell r="A370">
            <v>25282273</v>
          </cell>
          <cell r="B370" t="str">
            <v>ADRIANA YANETH RIVERA</v>
          </cell>
          <cell r="C370" t="str">
            <v xml:space="preserve">DAVIVIENDA </v>
          </cell>
          <cell r="D370" t="str">
            <v xml:space="preserve">AHORROS </v>
          </cell>
          <cell r="E370" t="str">
            <v>196100106778</v>
          </cell>
        </row>
        <row r="371">
          <cell r="A371">
            <v>76285180</v>
          </cell>
          <cell r="B371" t="str">
            <v xml:space="preserve">FABIO JAIR RUANO NAVIA </v>
          </cell>
          <cell r="C371" t="str">
            <v>BANCOLOMBIA</v>
          </cell>
          <cell r="D371" t="str">
            <v>AHORROS</v>
          </cell>
          <cell r="E371" t="str">
            <v>24243470150</v>
          </cell>
        </row>
        <row r="372">
          <cell r="A372">
            <v>1143939878</v>
          </cell>
          <cell r="B372" t="str">
            <v>FREDDY ALEXANDER URBANO</v>
          </cell>
          <cell r="C372" t="str">
            <v>COLPATRIA</v>
          </cell>
          <cell r="D372" t="str">
            <v>AHORROS</v>
          </cell>
          <cell r="E372" t="str">
            <v>7942003775</v>
          </cell>
        </row>
        <row r="373">
          <cell r="A373">
            <v>29598589</v>
          </cell>
          <cell r="B373" t="str">
            <v>IRMA SUAREZ DE REYES</v>
          </cell>
          <cell r="C373" t="str">
            <v>OCCIDENTE</v>
          </cell>
          <cell r="D373" t="str">
            <v>AHORROS</v>
          </cell>
          <cell r="E373" t="str">
            <v>043863984</v>
          </cell>
        </row>
        <row r="374">
          <cell r="A374">
            <v>1113693489</v>
          </cell>
          <cell r="B374" t="str">
            <v>LENIS FABIOLA RÁMIREZ BOTINA</v>
          </cell>
          <cell r="C374" t="str">
            <v>BBVA</v>
          </cell>
          <cell r="D374" t="str">
            <v>AHORROS</v>
          </cell>
          <cell r="E374" t="str">
            <v>616088225</v>
          </cell>
        </row>
        <row r="375">
          <cell r="A375">
            <v>25064295</v>
          </cell>
          <cell r="B375" t="str">
            <v xml:space="preserve">MARLENY URIBE </v>
          </cell>
          <cell r="C375" t="str">
            <v xml:space="preserve">BANCOLOMBIA </v>
          </cell>
          <cell r="D375" t="str">
            <v>AHORROS</v>
          </cell>
          <cell r="E375" t="str">
            <v>01530934752</v>
          </cell>
        </row>
        <row r="376">
          <cell r="A376">
            <v>900615513</v>
          </cell>
          <cell r="B376" t="str">
            <v>CENTRO MEDICO MEDISALUD IPS SAS</v>
          </cell>
          <cell r="C376" t="str">
            <v>BANCOLOMBIA</v>
          </cell>
          <cell r="D376" t="str">
            <v>AHORROS</v>
          </cell>
          <cell r="E376" t="str">
            <v>74197395757</v>
          </cell>
        </row>
        <row r="377">
          <cell r="A377">
            <v>900202195</v>
          </cell>
          <cell r="B377" t="str">
            <v xml:space="preserve">ITERA COLOMBIA SAS </v>
          </cell>
          <cell r="C377" t="str">
            <v>BANCOLOMBIA</v>
          </cell>
          <cell r="D377" t="str">
            <v>CORRIENTE</v>
          </cell>
          <cell r="E377" t="str">
            <v>04840356794</v>
          </cell>
        </row>
        <row r="378">
          <cell r="A378">
            <v>1061732106</v>
          </cell>
          <cell r="B378" t="str">
            <v xml:space="preserve">SONIA FERNANDA SAMBONI GAVIRIA </v>
          </cell>
          <cell r="C378" t="str">
            <v xml:space="preserve">CAJA SOCIAL </v>
          </cell>
          <cell r="D378" t="str">
            <v>AHORROS</v>
          </cell>
          <cell r="E378" t="str">
            <v>24114378088</v>
          </cell>
        </row>
        <row r="379">
          <cell r="A379">
            <v>10555739</v>
          </cell>
          <cell r="B379" t="str">
            <v>ORLANDO MORALES REYES</v>
          </cell>
          <cell r="C379" t="str">
            <v>BANCO DE BOGOTÁ</v>
          </cell>
          <cell r="D379" t="str">
            <v>CORRIENTE</v>
          </cell>
          <cell r="E379" t="str">
            <v>488314626</v>
          </cell>
        </row>
        <row r="380">
          <cell r="A380">
            <v>48628675</v>
          </cell>
          <cell r="B380" t="str">
            <v>LUZCENY RODRIGUEZ</v>
          </cell>
          <cell r="C380" t="str">
            <v xml:space="preserve">BANCOLOMBIA </v>
          </cell>
          <cell r="D380" t="str">
            <v>AHORROS</v>
          </cell>
          <cell r="E380" t="str">
            <v>84200000412</v>
          </cell>
        </row>
        <row r="381">
          <cell r="A381">
            <v>901672282</v>
          </cell>
          <cell r="B381" t="str">
            <v>FERRETERÍA HINCAPIE SAS</v>
          </cell>
          <cell r="C381" t="str">
            <v xml:space="preserve">BANCOLOMBIA </v>
          </cell>
          <cell r="D381" t="str">
            <v>CORRIENTE</v>
          </cell>
          <cell r="E381" t="str">
            <v>81200008991</v>
          </cell>
        </row>
        <row r="382">
          <cell r="A382">
            <v>34615980</v>
          </cell>
          <cell r="B382" t="str">
            <v>FORY PEÑA YULANI</v>
          </cell>
          <cell r="C382" t="str">
            <v>BANCOOMEVA</v>
          </cell>
          <cell r="D382" t="str">
            <v>AHORROS</v>
          </cell>
          <cell r="E382" t="str">
            <v>010701519531</v>
          </cell>
        </row>
        <row r="383">
          <cell r="A383">
            <v>901515641</v>
          </cell>
          <cell r="B383" t="str">
            <v>HABITAR3 ZGT ARQUITECTOS SAS</v>
          </cell>
          <cell r="C383" t="str">
            <v xml:space="preserve">BANCOLOMBIA </v>
          </cell>
          <cell r="D383" t="str">
            <v>CORRIENTE</v>
          </cell>
          <cell r="E383" t="str">
            <v>74500003117</v>
          </cell>
        </row>
        <row r="384">
          <cell r="A384">
            <v>830070527</v>
          </cell>
          <cell r="B384" t="str">
            <v>REDEBAN S.A.</v>
          </cell>
          <cell r="C384" t="str">
            <v xml:space="preserve">BANCOLOMBIA </v>
          </cell>
          <cell r="D384" t="str">
            <v>CORRIENTE</v>
          </cell>
          <cell r="E384" t="str">
            <v>12619030331</v>
          </cell>
        </row>
        <row r="385">
          <cell r="A385">
            <v>901418043</v>
          </cell>
          <cell r="B385" t="str">
            <v>EXTINTORES, DOTACIONES Y SEGURIDAD SUPER</v>
          </cell>
          <cell r="C385" t="str">
            <v xml:space="preserve">BANCOLOMBIA </v>
          </cell>
          <cell r="D385" t="str">
            <v>CORRIENTE</v>
          </cell>
          <cell r="E385" t="str">
            <v>81500000732</v>
          </cell>
        </row>
        <row r="386">
          <cell r="A386">
            <v>6382268</v>
          </cell>
          <cell r="B386" t="str">
            <v>JOSÉ VICENTE CAMAYO QUINTERO</v>
          </cell>
          <cell r="C386" t="str">
            <v xml:space="preserve">BANCOLOMBIA </v>
          </cell>
          <cell r="D386" t="str">
            <v>AHORROS</v>
          </cell>
          <cell r="E386" t="str">
            <v>91245324583</v>
          </cell>
        </row>
        <row r="387">
          <cell r="A387">
            <v>67000663</v>
          </cell>
          <cell r="B387" t="str">
            <v>GUIOVANA VELASCO NAVARRO</v>
          </cell>
          <cell r="C387" t="str">
            <v>NEQUI</v>
          </cell>
          <cell r="D387" t="str">
            <v>AHORROS</v>
          </cell>
          <cell r="E387">
            <v>3183155472</v>
          </cell>
        </row>
        <row r="388">
          <cell r="A388">
            <v>1004670145</v>
          </cell>
          <cell r="B388" t="str">
            <v>LEIDY LAURA FERNANDEZ HIGUITA</v>
          </cell>
          <cell r="C388" t="str">
            <v>BANCOLOMBIA</v>
          </cell>
          <cell r="D388" t="str">
            <v>AHORROS</v>
          </cell>
          <cell r="E388">
            <v>26115531866</v>
          </cell>
        </row>
        <row r="389">
          <cell r="A389">
            <v>98332672</v>
          </cell>
          <cell r="B389" t="str">
            <v>SILVIO JAIME PEREZ MUNOZ</v>
          </cell>
          <cell r="C389" t="str">
            <v>DAVIVIENDA</v>
          </cell>
          <cell r="D389" t="str">
            <v>AHORROS</v>
          </cell>
          <cell r="E389" t="str">
            <v>196000875449</v>
          </cell>
        </row>
        <row r="390">
          <cell r="A390">
            <v>34508846</v>
          </cell>
          <cell r="B390" t="str">
            <v>PIEDAD SHEK PEÑA</v>
          </cell>
          <cell r="C390" t="str">
            <v xml:space="preserve">BANCOLOMBIA </v>
          </cell>
          <cell r="D390" t="str">
            <v>CORRIENTE</v>
          </cell>
          <cell r="E390">
            <v>83877684251</v>
          </cell>
        </row>
        <row r="391">
          <cell r="A391">
            <v>1002962492</v>
          </cell>
          <cell r="B391" t="str">
            <v>Etty Adriana Urresti Rivas</v>
          </cell>
          <cell r="C391" t="str">
            <v>AV VILLAS</v>
          </cell>
          <cell r="D391" t="str">
            <v>AHORROS</v>
          </cell>
          <cell r="E391">
            <v>213856656</v>
          </cell>
        </row>
        <row r="392">
          <cell r="A392">
            <v>29664872</v>
          </cell>
          <cell r="B392" t="str">
            <v>PAULA ANDREA TORRES ROSAS</v>
          </cell>
          <cell r="C392" t="str">
            <v>BBVA</v>
          </cell>
          <cell r="D392" t="str">
            <v>AHORROS</v>
          </cell>
          <cell r="E392" t="str">
            <v>0905000200133005</v>
          </cell>
        </row>
        <row r="393">
          <cell r="A393">
            <v>1061531940</v>
          </cell>
          <cell r="B393" t="str">
            <v>RONAL NILSON MUELAS CUCHILLO</v>
          </cell>
          <cell r="C393" t="str">
            <v>BANCOLOMBIA</v>
          </cell>
          <cell r="D393" t="str">
            <v>AHORROS</v>
          </cell>
          <cell r="E393">
            <v>26107489923</v>
          </cell>
        </row>
        <row r="394">
          <cell r="A394">
            <v>900500630</v>
          </cell>
          <cell r="B394" t="str">
            <v xml:space="preserve">COMERCIALIZADORA CASA AGRARIA </v>
          </cell>
          <cell r="C394" t="str">
            <v>BANCOLOMBIA</v>
          </cell>
          <cell r="D394" t="str">
            <v>AHORROS</v>
          </cell>
          <cell r="E394">
            <v>26100004133</v>
          </cell>
        </row>
        <row r="395">
          <cell r="A395">
            <v>900963395</v>
          </cell>
          <cell r="B395" t="str">
            <v>ASOCIACION COLOMBIANA DE OPERADORES DE JUEGOS: ASOJUEGOS</v>
          </cell>
          <cell r="C395" t="str">
            <v>BBVA</v>
          </cell>
          <cell r="D395" t="str">
            <v>CORRIENTE</v>
          </cell>
          <cell r="E395" t="str">
            <v>73000100044653</v>
          </cell>
        </row>
        <row r="396">
          <cell r="A396">
            <v>1061705064</v>
          </cell>
          <cell r="B396" t="str">
            <v>LUIS CARLOS MEDINA GOMEZ</v>
          </cell>
          <cell r="C396" t="str">
            <v>BANCOLOMBIA</v>
          </cell>
          <cell r="D396" t="str">
            <v>AHORROS</v>
          </cell>
          <cell r="E396">
            <v>91211860061</v>
          </cell>
        </row>
        <row r="397">
          <cell r="A397">
            <v>900433633</v>
          </cell>
          <cell r="B397" t="str">
            <v xml:space="preserve">DISTRIBUIDORA COLOMBIANA DE MOTOS DISCOLMOTOS </v>
          </cell>
          <cell r="C397" t="str">
            <v>BANCOLOMBIA</v>
          </cell>
          <cell r="D397" t="str">
            <v>CORRIENTE</v>
          </cell>
          <cell r="E397">
            <v>26100004378</v>
          </cell>
        </row>
        <row r="398">
          <cell r="A398">
            <v>900622534</v>
          </cell>
          <cell r="B398" t="str">
            <v xml:space="preserve">AUDITOOL </v>
          </cell>
          <cell r="C398" t="str">
            <v>DAVIVIENDA</v>
          </cell>
          <cell r="D398" t="str">
            <v>AHORROS</v>
          </cell>
          <cell r="E398" t="str">
            <v>550477900056458</v>
          </cell>
        </row>
        <row r="399">
          <cell r="A399">
            <v>1061768696</v>
          </cell>
          <cell r="B399" t="str">
            <v>LIZETH KATERINE LASSO CHASOY</v>
          </cell>
          <cell r="C399" t="str">
            <v>DAVIVIENDA</v>
          </cell>
          <cell r="D399" t="str">
            <v>AHORROS</v>
          </cell>
          <cell r="E399" t="str">
            <v>488415900759</v>
          </cell>
        </row>
        <row r="400">
          <cell r="A400">
            <v>31981088</v>
          </cell>
          <cell r="B400" t="str">
            <v>MARIA CRISTINA SEGURA ARCE (JHONNY REYNOLDS)</v>
          </cell>
          <cell r="C400" t="str">
            <v>DAVIVIENDA</v>
          </cell>
          <cell r="D400" t="str">
            <v>CORRIENTE</v>
          </cell>
          <cell r="E400" t="str">
            <v>160660009939</v>
          </cell>
        </row>
        <row r="401">
          <cell r="A401">
            <v>1061713437</v>
          </cell>
          <cell r="B401" t="str">
            <v>YONATHAN ZAFRA RIVERA - LUIS FERNANDO RIVERA CASTILLO</v>
          </cell>
          <cell r="C401" t="str">
            <v>BANCOLOMBIA</v>
          </cell>
          <cell r="D401" t="str">
            <v>AHORRO</v>
          </cell>
          <cell r="E401">
            <v>91230067321</v>
          </cell>
        </row>
        <row r="402">
          <cell r="A402">
            <v>1144028273</v>
          </cell>
          <cell r="B402" t="str">
            <v xml:space="preserve">LAGUNA OROZCO JACQUELINE                                                                            </v>
          </cell>
          <cell r="C402" t="str">
            <v>BANCOLOMBIA</v>
          </cell>
          <cell r="D402" t="str">
            <v>AHORRO</v>
          </cell>
          <cell r="E402">
            <v>60510930820</v>
          </cell>
        </row>
        <row r="403">
          <cell r="A403">
            <v>800194297</v>
          </cell>
          <cell r="B403" t="str">
            <v>CARTERA COLECTIVA ABIERTA ALIANZA - OFICOMCO</v>
          </cell>
          <cell r="C403" t="str">
            <v>BANCOLOMBIA</v>
          </cell>
          <cell r="D403" t="str">
            <v>AHORRO</v>
          </cell>
          <cell r="E403">
            <v>4019806427</v>
          </cell>
        </row>
        <row r="404">
          <cell r="A404">
            <v>800115720</v>
          </cell>
          <cell r="B404" t="str">
            <v>RG DISTRIBUCIONES</v>
          </cell>
          <cell r="C404" t="str">
            <v>BANCOLOMBIA</v>
          </cell>
          <cell r="D404" t="str">
            <v>CORRIENTE</v>
          </cell>
          <cell r="E404">
            <v>73002457745</v>
          </cell>
        </row>
        <row r="405">
          <cell r="A405">
            <v>1061755278</v>
          </cell>
          <cell r="B405" t="str">
            <v>FERNANDO GUTIERREZ MOSQUERA Y/O DM INGENIERIA</v>
          </cell>
          <cell r="C405" t="str">
            <v>BANCOLOMBIA</v>
          </cell>
          <cell r="D405" t="str">
            <v>AHORROS</v>
          </cell>
          <cell r="E405">
            <v>26129461461</v>
          </cell>
        </row>
        <row r="406">
          <cell r="A406">
            <v>800062607</v>
          </cell>
          <cell r="B406" t="str">
            <v>CLUB KIWANIS TIERRA DE ORO</v>
          </cell>
          <cell r="C406" t="str">
            <v>DAVIVIENDA</v>
          </cell>
          <cell r="D406" t="str">
            <v>CORRIENTE</v>
          </cell>
          <cell r="E406">
            <v>346046816</v>
          </cell>
        </row>
        <row r="407">
          <cell r="A407">
            <v>891501023</v>
          </cell>
          <cell r="B407" t="str">
            <v>FEDERACION NACIONAL DE COMERCIANTES FEN - FENALCO</v>
          </cell>
          <cell r="C407" t="str">
            <v>SCOTIBANK COLPATRIA</v>
          </cell>
          <cell r="D407" t="str">
            <v>AHORRO</v>
          </cell>
          <cell r="E407">
            <v>7942008805</v>
          </cell>
        </row>
        <row r="408">
          <cell r="A408">
            <v>41690291</v>
          </cell>
          <cell r="B408" t="str">
            <v>MARIA NOHELIA CORREDOR ROMERO</v>
          </cell>
          <cell r="C408" t="str">
            <v>DAVIVIENDA</v>
          </cell>
          <cell r="D408" t="str">
            <v>CORRIENTE</v>
          </cell>
          <cell r="E408" t="str">
            <v>0000000680003571</v>
          </cell>
        </row>
        <row r="409">
          <cell r="A409">
            <v>100083645</v>
          </cell>
          <cell r="B409" t="str">
            <v>GABRIELA RUIZ GONZALEZ- JORGE ANDRES MORALES Y O INGENERIA INNOVACION 3 G INGENIERIA</v>
          </cell>
          <cell r="C409" t="str">
            <v>BANCOLOMBIA</v>
          </cell>
          <cell r="D409" t="str">
            <v>AHORRO</v>
          </cell>
          <cell r="E409">
            <v>82929765245</v>
          </cell>
        </row>
        <row r="410">
          <cell r="A410">
            <v>901262254</v>
          </cell>
          <cell r="B410" t="str">
            <v>DIGITAL USER</v>
          </cell>
          <cell r="C410" t="str">
            <v>BANCOLOMBIA</v>
          </cell>
          <cell r="D410" t="str">
            <v>AHORRO</v>
          </cell>
          <cell r="E410">
            <v>85100036377</v>
          </cell>
        </row>
        <row r="411">
          <cell r="A411">
            <v>1143877175</v>
          </cell>
          <cell r="B411" t="str">
            <v>MAYRA ALEJANDRA MANCHABAJOY - ANDRES FELIPE MUÑOZ</v>
          </cell>
          <cell r="C411" t="str">
            <v>BANCOLOMBIA</v>
          </cell>
          <cell r="D411" t="str">
            <v>AHORRO</v>
          </cell>
          <cell r="E411">
            <v>74533676913</v>
          </cell>
        </row>
        <row r="412">
          <cell r="A412">
            <v>12109146</v>
          </cell>
          <cell r="B412" t="str">
            <v>HERMES RODRIGUEZ POLO</v>
          </cell>
          <cell r="C412" t="str">
            <v>BANCOLOMBIA</v>
          </cell>
          <cell r="D412" t="str">
            <v>AHORRO</v>
          </cell>
          <cell r="E412">
            <v>91231837961</v>
          </cell>
        </row>
        <row r="413">
          <cell r="A413">
            <v>1144080088</v>
          </cell>
          <cell r="B413" t="str">
            <v>DANNA MARIA IDROBO PAZ</v>
          </cell>
          <cell r="C413" t="str">
            <v>BANCOLOMBIA</v>
          </cell>
          <cell r="D413" t="str">
            <v xml:space="preserve">AHORRO </v>
          </cell>
          <cell r="E413">
            <v>60500005049</v>
          </cell>
        </row>
        <row r="414">
          <cell r="A414">
            <v>16838150</v>
          </cell>
          <cell r="B414" t="str">
            <v>HUGO ANDRES ORDOÑEZ PALOMINO</v>
          </cell>
          <cell r="C414" t="str">
            <v>BBVA</v>
          </cell>
          <cell r="D414" t="str">
            <v>AHORRO</v>
          </cell>
          <cell r="E414" t="str">
            <v>995000200106101</v>
          </cell>
        </row>
        <row r="415">
          <cell r="A415">
            <v>10692629</v>
          </cell>
          <cell r="B415" t="str">
            <v>OVER ÑAÑEZ</v>
          </cell>
          <cell r="C415" t="str">
            <v>MUNDO MUJER</v>
          </cell>
          <cell r="D415" t="str">
            <v>AHORRO</v>
          </cell>
          <cell r="E415" t="str">
            <v>38100388729601</v>
          </cell>
        </row>
        <row r="416">
          <cell r="A416">
            <v>1061725166</v>
          </cell>
          <cell r="B416" t="str">
            <v>JULIAN EDUARDO YACE CUARAN</v>
          </cell>
          <cell r="C416" t="str">
            <v>BBVA</v>
          </cell>
          <cell r="D416" t="str">
            <v>AHORRO</v>
          </cell>
          <cell r="E416" t="str">
            <v>0721000200773422</v>
          </cell>
        </row>
        <row r="417">
          <cell r="A417">
            <v>900712544</v>
          </cell>
          <cell r="B417" t="str">
            <v>UX TECHNOLOGY SAS</v>
          </cell>
          <cell r="C417" t="str">
            <v>BBVA</v>
          </cell>
          <cell r="D417" t="str">
            <v>AHORRO</v>
          </cell>
          <cell r="E417" t="str">
            <v>0013050000020001</v>
          </cell>
        </row>
        <row r="418">
          <cell r="A418">
            <v>900353249</v>
          </cell>
          <cell r="B418" t="str">
            <v xml:space="preserve">ASEQI </v>
          </cell>
          <cell r="C418" t="str">
            <v xml:space="preserve">BANCO DE BOGOTA </v>
          </cell>
          <cell r="D418" t="str">
            <v>CORRIENTE</v>
          </cell>
          <cell r="E418">
            <v>520126152</v>
          </cell>
        </row>
        <row r="419">
          <cell r="A419">
            <v>10473040</v>
          </cell>
          <cell r="B419" t="str">
            <v xml:space="preserve">JHON JAIRO MOSQUERA </v>
          </cell>
          <cell r="C419" t="str">
            <v>BANCOLOMBIA</v>
          </cell>
          <cell r="D419" t="str">
            <v>AHORRO</v>
          </cell>
          <cell r="E419">
            <v>83834894711</v>
          </cell>
        </row>
        <row r="420">
          <cell r="A420">
            <v>94508558</v>
          </cell>
          <cell r="B420" t="str">
            <v>GEOVANNY RESTREPO ORTIZ</v>
          </cell>
          <cell r="C420" t="str">
            <v>BANCOLOMBIA</v>
          </cell>
          <cell r="D420" t="str">
            <v>AHORRO</v>
          </cell>
          <cell r="E420">
            <v>83860524077</v>
          </cell>
        </row>
        <row r="421">
          <cell r="A421">
            <v>1059990791</v>
          </cell>
          <cell r="B421" t="str">
            <v>YONIER ALEXIS MORAN MURILLO</v>
          </cell>
          <cell r="C421" t="str">
            <v>AV VILLAS</v>
          </cell>
          <cell r="D421" t="str">
            <v>AHORRO</v>
          </cell>
          <cell r="E421">
            <v>651768900</v>
          </cell>
        </row>
        <row r="422">
          <cell r="A422">
            <v>1006210005</v>
          </cell>
          <cell r="B422" t="str">
            <v>YESENIA PEREZ LOZANO</v>
          </cell>
          <cell r="C422" t="str">
            <v>BANCOLOMBIA</v>
          </cell>
          <cell r="D422" t="str">
            <v>AHORRO</v>
          </cell>
          <cell r="E422">
            <v>84800027992</v>
          </cell>
        </row>
        <row r="423">
          <cell r="A423">
            <v>1118290706</v>
          </cell>
          <cell r="B423" t="str">
            <v>SOLENID GRAJALES VARGAS</v>
          </cell>
          <cell r="C423" t="str">
            <v>BANCO DE BOGOTA</v>
          </cell>
          <cell r="D423" t="str">
            <v>AHORRO</v>
          </cell>
          <cell r="E423">
            <v>111368890</v>
          </cell>
        </row>
        <row r="424">
          <cell r="A424">
            <v>901627848</v>
          </cell>
          <cell r="B424" t="str">
            <v>IMPACOL SUR OCCIDENTE</v>
          </cell>
          <cell r="C424" t="str">
            <v>BANCOMEVA</v>
          </cell>
          <cell r="D424" t="str">
            <v>CORRIENTE</v>
          </cell>
          <cell r="E424" t="str">
            <v>090106907106</v>
          </cell>
        </row>
        <row r="425">
          <cell r="A425">
            <v>4758926</v>
          </cell>
          <cell r="B425" t="str">
            <v>HEINER YOBAN VASQUEZ OSORIO</v>
          </cell>
          <cell r="C425" t="str">
            <v>BBVA</v>
          </cell>
          <cell r="D425" t="str">
            <v>AHORRO</v>
          </cell>
          <cell r="E425" t="str">
            <v>0995000200001017</v>
          </cell>
        </row>
        <row r="426">
          <cell r="A426">
            <v>10298579</v>
          </cell>
          <cell r="B426" t="str">
            <v>JHON FREDY MENESES</v>
          </cell>
          <cell r="C426" t="str">
            <v>BANCOLOMBIA</v>
          </cell>
          <cell r="D426" t="str">
            <v>AHORRO</v>
          </cell>
          <cell r="E426">
            <v>86894225914</v>
          </cell>
        </row>
        <row r="427">
          <cell r="A427">
            <v>1115187207</v>
          </cell>
          <cell r="B427" t="str">
            <v>FEDERMAN ROSERO ORTIZ</v>
          </cell>
          <cell r="C427" t="str">
            <v>BANCOLOMBIA</v>
          </cell>
          <cell r="D427" t="str">
            <v>AHORRO</v>
          </cell>
          <cell r="E427">
            <v>28984689570</v>
          </cell>
        </row>
        <row r="428">
          <cell r="A428">
            <v>900749892</v>
          </cell>
          <cell r="B428" t="str">
            <v>ARTURIA SAS</v>
          </cell>
          <cell r="C428" t="str">
            <v>BANCOLOMBIA</v>
          </cell>
          <cell r="D428" t="str">
            <v>CORRIENTE</v>
          </cell>
          <cell r="E428">
            <v>55700010172</v>
          </cell>
        </row>
        <row r="429">
          <cell r="A429">
            <v>1062293977</v>
          </cell>
          <cell r="B429" t="str">
            <v>LEIDY LORIETH AMBUILA MINA</v>
          </cell>
          <cell r="C429" t="str">
            <v>BBVA</v>
          </cell>
          <cell r="D429" t="str">
            <v>AHORRO</v>
          </cell>
          <cell r="E429" t="str">
            <v>00130889000200004032</v>
          </cell>
        </row>
        <row r="430">
          <cell r="A430">
            <v>76312957</v>
          </cell>
          <cell r="B430" t="str">
            <v>FREDY ORLANDO AGREDO LLANTEN</v>
          </cell>
          <cell r="C430" t="str">
            <v>NEQUI</v>
          </cell>
          <cell r="D430" t="str">
            <v>AHORRO</v>
          </cell>
          <cell r="E430">
            <v>3128596340</v>
          </cell>
        </row>
        <row r="431">
          <cell r="A431">
            <v>10306823</v>
          </cell>
          <cell r="B431" t="str">
            <v>FABIAN ANDRES CHAVES VALLEJO</v>
          </cell>
          <cell r="C431" t="str">
            <v>BANCOLOMBIA</v>
          </cell>
          <cell r="D431" t="str">
            <v>AHORRO</v>
          </cell>
          <cell r="E431" t="str">
            <v>26100060263</v>
          </cell>
        </row>
        <row r="432">
          <cell r="A432">
            <v>34326739</v>
          </cell>
          <cell r="B432" t="str">
            <v>MARISOL ORTIZ MENESES</v>
          </cell>
          <cell r="C432" t="str">
            <v>NEQUI</v>
          </cell>
          <cell r="D432" t="str">
            <v>AHORRO</v>
          </cell>
          <cell r="E432">
            <v>3185055720</v>
          </cell>
        </row>
        <row r="433">
          <cell r="A433">
            <v>891580011</v>
          </cell>
          <cell r="B433" t="str">
            <v>CAMARA DE COMERCIO DEL CAUCA</v>
          </cell>
          <cell r="C433" t="str">
            <v>BANCOLOMBIA</v>
          </cell>
          <cell r="D433" t="str">
            <v>AHORRO</v>
          </cell>
          <cell r="E433" t="str">
            <v>86867162323</v>
          </cell>
        </row>
        <row r="434">
          <cell r="A434">
            <v>1062301213</v>
          </cell>
          <cell r="B434" t="str">
            <v>DIEGO ALBERTO PALACIOS VELASCO</v>
          </cell>
          <cell r="C434" t="str">
            <v>BANCO DE BOGOTA</v>
          </cell>
          <cell r="D434" t="str">
            <v>AHORRO</v>
          </cell>
          <cell r="E434" t="str">
            <v>111201984</v>
          </cell>
        </row>
        <row r="435">
          <cell r="A435">
            <v>31898638</v>
          </cell>
          <cell r="B435" t="str">
            <v>GLORIA ELAINE CIFUENTES MARMOL</v>
          </cell>
          <cell r="C435" t="str">
            <v>BANCO DE OCCIDENTE</v>
          </cell>
          <cell r="D435" t="str">
            <v>AHORRO</v>
          </cell>
          <cell r="E435" t="str">
            <v>075813840</v>
          </cell>
        </row>
        <row r="436">
          <cell r="A436">
            <v>10128823</v>
          </cell>
          <cell r="B436" t="str">
            <v>NORBERTO CARVAJAL</v>
          </cell>
          <cell r="C436" t="str">
            <v>BANCOLOMBIA</v>
          </cell>
          <cell r="D436" t="str">
            <v>AHORRO</v>
          </cell>
          <cell r="E436" t="str">
            <v>83883227355</v>
          </cell>
        </row>
        <row r="437">
          <cell r="A437">
            <v>1061795086</v>
          </cell>
          <cell r="B437" t="str">
            <v>ANGI MAGALI IJAJI</v>
          </cell>
          <cell r="C437" t="str">
            <v>NEQUI</v>
          </cell>
          <cell r="D437" t="str">
            <v>AHORRO</v>
          </cell>
          <cell r="E437">
            <v>3226435512</v>
          </cell>
        </row>
        <row r="438">
          <cell r="A438">
            <v>10489291</v>
          </cell>
          <cell r="B438" t="str">
            <v>ALCIBIADES CHAMIZO COLORADO</v>
          </cell>
          <cell r="C438" t="str">
            <v>BANCO DE OCCIDENTE</v>
          </cell>
          <cell r="D438" t="str">
            <v>AHORRO</v>
          </cell>
          <cell r="E438">
            <v>43832682</v>
          </cell>
        </row>
        <row r="439">
          <cell r="A439">
            <v>891300382</v>
          </cell>
          <cell r="B439" t="str">
            <v>HARINERA DEL VALLE</v>
          </cell>
          <cell r="C439" t="str">
            <v>BANCOLOMBIA</v>
          </cell>
          <cell r="D439" t="str">
            <v>CORRIENTE</v>
          </cell>
          <cell r="E439">
            <v>80119701070</v>
          </cell>
        </row>
        <row r="440">
          <cell r="A440">
            <v>800156716</v>
          </cell>
          <cell r="B440" t="str">
            <v>PROMMA COMUNICACIONES LIMITADA</v>
          </cell>
          <cell r="C440" t="str">
            <v>BANCO DE BOGOTA</v>
          </cell>
          <cell r="D440" t="str">
            <v>CORRIENTE</v>
          </cell>
          <cell r="E440" t="str">
            <v>391555562</v>
          </cell>
        </row>
        <row r="441">
          <cell r="A441">
            <v>10385035</v>
          </cell>
          <cell r="B441" t="str">
            <v>JOSE MARIA GRUESO GRANJA</v>
          </cell>
          <cell r="C441" t="str">
            <v>BANCOLOMBIA</v>
          </cell>
          <cell r="D441" t="str">
            <v>AHORRO</v>
          </cell>
          <cell r="E441" t="str">
            <v>03206859175</v>
          </cell>
        </row>
        <row r="442">
          <cell r="A442">
            <v>1059046338</v>
          </cell>
          <cell r="B442" t="str">
            <v>CARLOS ANDRES RIASCOS RIASCOS</v>
          </cell>
          <cell r="C442" t="str">
            <v>BANCO AGRARIO</v>
          </cell>
          <cell r="D442" t="str">
            <v>AHORRO</v>
          </cell>
          <cell r="E442" t="str">
            <v>421392019931</v>
          </cell>
        </row>
        <row r="443">
          <cell r="A443">
            <v>901470044</v>
          </cell>
          <cell r="B443" t="str">
            <v>FUNDACION MOLINA POSSU</v>
          </cell>
          <cell r="C443" t="str">
            <v>BANCOLOMBIA</v>
          </cell>
          <cell r="D443" t="str">
            <v>AHORRO</v>
          </cell>
          <cell r="E443" t="str">
            <v>26500002622</v>
          </cell>
        </row>
        <row r="444">
          <cell r="A444">
            <v>811028650</v>
          </cell>
          <cell r="B444" t="str">
            <v>MADECENTRO</v>
          </cell>
          <cell r="C444" t="str">
            <v>BANCOLOMBIA</v>
          </cell>
          <cell r="D444" t="str">
            <v>CORRIENTE</v>
          </cell>
          <cell r="E444" t="str">
            <v>26161583681</v>
          </cell>
        </row>
        <row r="445">
          <cell r="A445">
            <v>38260607</v>
          </cell>
          <cell r="B445" t="str">
            <v>MARIELA GUARNIZO</v>
          </cell>
          <cell r="C445" t="str">
            <v>BANCOLOMBIA</v>
          </cell>
          <cell r="D445" t="str">
            <v>AHORRO</v>
          </cell>
          <cell r="E445" t="str">
            <v>75033470151</v>
          </cell>
        </row>
        <row r="446">
          <cell r="A446">
            <v>10386119</v>
          </cell>
          <cell r="B446" t="str">
            <v>REINALDO RIASCOS SAA</v>
          </cell>
          <cell r="C446" t="str">
            <v>NEQUI</v>
          </cell>
          <cell r="D446" t="str">
            <v>AHORRO</v>
          </cell>
          <cell r="E446" t="str">
            <v>3028552659</v>
          </cell>
        </row>
        <row r="447">
          <cell r="A447">
            <v>34553284</v>
          </cell>
          <cell r="B447" t="str">
            <v>SANDRA PILAR YANEZ LOMAS</v>
          </cell>
          <cell r="C447" t="str">
            <v>OCCIDENTE</v>
          </cell>
          <cell r="D447" t="str">
            <v>AHORRO</v>
          </cell>
          <cell r="E447" t="str">
            <v>043804608</v>
          </cell>
        </row>
        <row r="448">
          <cell r="A448">
            <v>10487194</v>
          </cell>
          <cell r="B448" t="str">
            <v>ALEXANDER PARDO PRIETO</v>
          </cell>
          <cell r="C448" t="str">
            <v>BANCOLOMBIA</v>
          </cell>
          <cell r="D448" t="str">
            <v>AHORRO</v>
          </cell>
          <cell r="E448" t="str">
            <v>83850808310</v>
          </cell>
        </row>
        <row r="449">
          <cell r="A449">
            <v>800112269</v>
          </cell>
          <cell r="B449" t="str">
            <v>ACRILICOS SURTIACRRYLICOS SAS</v>
          </cell>
          <cell r="C449" t="str">
            <v>BBVA</v>
          </cell>
          <cell r="D449" t="str">
            <v>CORRIENTE</v>
          </cell>
          <cell r="E449" t="str">
            <v>0126039478</v>
          </cell>
        </row>
        <row r="450">
          <cell r="A450">
            <v>1130604623</v>
          </cell>
          <cell r="B450" t="str">
            <v>GILBERTIO MOSQUERA ARARAT</v>
          </cell>
          <cell r="C450" t="str">
            <v>BANCOLOMBIA</v>
          </cell>
          <cell r="D450" t="str">
            <v>AHORRO</v>
          </cell>
          <cell r="E450" t="str">
            <v>06054554506</v>
          </cell>
        </row>
        <row r="451">
          <cell r="A451">
            <v>9017539961</v>
          </cell>
          <cell r="B451" t="str">
            <v>PINCOR OBRAS CIVILES</v>
          </cell>
          <cell r="C451" t="str">
            <v>BANCO DE BOGOTA</v>
          </cell>
          <cell r="D451" t="str">
            <v>AHORRO</v>
          </cell>
          <cell r="E451" t="str">
            <v>566654265</v>
          </cell>
        </row>
        <row r="452">
          <cell r="A452">
            <v>34560244</v>
          </cell>
          <cell r="B452" t="str">
            <v>ANA ROCIO TUQUERREZ MADROÑERO</v>
          </cell>
          <cell r="C452" t="str">
            <v>BANCOLOMBIA</v>
          </cell>
          <cell r="D452" t="str">
            <v>AHORRO</v>
          </cell>
          <cell r="E452" t="str">
            <v>24261646851</v>
          </cell>
        </row>
        <row r="453">
          <cell r="A453">
            <v>805019687</v>
          </cell>
          <cell r="B453" t="str">
            <v>VIAJES L&amp;M</v>
          </cell>
          <cell r="C453" t="str">
            <v>DAVIVIENDA</v>
          </cell>
          <cell r="D453" t="str">
            <v>CORRIENTE</v>
          </cell>
          <cell r="E453" t="str">
            <v>010269991492</v>
          </cell>
        </row>
        <row r="454">
          <cell r="A454">
            <v>1061203027</v>
          </cell>
          <cell r="B454" t="str">
            <v>JAVIER GRUESO OLAYA</v>
          </cell>
          <cell r="C454" t="str">
            <v>BANCOLOMBIA</v>
          </cell>
          <cell r="D454" t="str">
            <v>AHORRO</v>
          </cell>
          <cell r="E454" t="str">
            <v>84252716857</v>
          </cell>
        </row>
        <row r="455">
          <cell r="A455">
            <v>900798422</v>
          </cell>
          <cell r="B455" t="str">
            <v>PROCESOS PRODUCTIVOS DEL CAUCA</v>
          </cell>
          <cell r="C455" t="str">
            <v>BANCOLOMBIA</v>
          </cell>
          <cell r="D455" t="str">
            <v>AHORRO</v>
          </cell>
          <cell r="E455" t="str">
            <v>24236067978</v>
          </cell>
        </row>
        <row r="456">
          <cell r="A456">
            <v>10548053</v>
          </cell>
          <cell r="B456" t="str">
            <v>WILLIAM QUINTERO FLOR</v>
          </cell>
          <cell r="C456" t="str">
            <v>NEQUI</v>
          </cell>
          <cell r="D456" t="str">
            <v>AHORRO</v>
          </cell>
          <cell r="E456">
            <v>3007886513</v>
          </cell>
        </row>
        <row r="457">
          <cell r="A457">
            <v>10388300</v>
          </cell>
          <cell r="B457" t="str">
            <v>JHONIER MAURICIO RAMIREZ NAVARRO</v>
          </cell>
          <cell r="C457" t="str">
            <v>BANCOLOMBIA</v>
          </cell>
          <cell r="D457" t="str">
            <v>AHORRO</v>
          </cell>
          <cell r="E457" t="str">
            <v>80321976151</v>
          </cell>
        </row>
        <row r="458">
          <cell r="A458">
            <v>1061783916</v>
          </cell>
          <cell r="B458" t="str">
            <v>JHONATHAN FRANCO GONZALEZ</v>
          </cell>
          <cell r="C458" t="str">
            <v>DAVIVIENDA</v>
          </cell>
          <cell r="D458" t="str">
            <v>AHORRO</v>
          </cell>
          <cell r="E458" t="str">
            <v>0550196000873485</v>
          </cell>
        </row>
        <row r="459">
          <cell r="A459">
            <v>34611182</v>
          </cell>
          <cell r="B459" t="str">
            <v>MARTHA LUCIA TORRES DELGADO</v>
          </cell>
          <cell r="C459" t="str">
            <v>BANCOLOMBIA</v>
          </cell>
          <cell r="D459" t="str">
            <v>AHORRO</v>
          </cell>
          <cell r="E459" t="str">
            <v>83815868920</v>
          </cell>
        </row>
        <row r="460">
          <cell r="A460">
            <v>10693046</v>
          </cell>
          <cell r="B460" t="str">
            <v>CARLOS IDELBER MOSQUERA ESPINOSA</v>
          </cell>
          <cell r="C460" t="str">
            <v>BANCO AGRARIO</v>
          </cell>
          <cell r="D460" t="str">
            <v>AHORRO</v>
          </cell>
          <cell r="E460" t="str">
            <v>469210170667</v>
          </cell>
        </row>
        <row r="461">
          <cell r="A461">
            <v>1112477484</v>
          </cell>
          <cell r="B461" t="str">
            <v>ALEJANDRO SANTA SALAZAR</v>
          </cell>
          <cell r="C461" t="str">
            <v>SCOTIBANK COLPATRIA</v>
          </cell>
          <cell r="D461" t="str">
            <v>AHORRO</v>
          </cell>
          <cell r="E461" t="str">
            <v>9712021716</v>
          </cell>
        </row>
        <row r="462">
          <cell r="A462">
            <v>800108425</v>
          </cell>
          <cell r="B462" t="str">
            <v>ASOC COLOMBIANA DE LAS MICRO</v>
          </cell>
          <cell r="C462" t="str">
            <v>BANCO AV VILLAS</v>
          </cell>
          <cell r="D462" t="str">
            <v>CORRIENTE</v>
          </cell>
          <cell r="E462" t="str">
            <v>251294047</v>
          </cell>
        </row>
        <row r="463">
          <cell r="A463">
            <v>1116246780</v>
          </cell>
          <cell r="B463" t="str">
            <v>EFRAIN VELANDIA VANEGAS</v>
          </cell>
          <cell r="C463" t="str">
            <v>BANCOLOMBIA</v>
          </cell>
          <cell r="D463" t="str">
            <v>AHORRO</v>
          </cell>
          <cell r="E463" t="str">
            <v>76285020120</v>
          </cell>
        </row>
        <row r="464">
          <cell r="A464">
            <v>900333755</v>
          </cell>
          <cell r="B464" t="str">
            <v>APRESOD ASOCIADOS SAS</v>
          </cell>
          <cell r="C464" t="str">
            <v>BANCOLOMBIA</v>
          </cell>
          <cell r="D464" t="str">
            <v>CORRIENTE</v>
          </cell>
          <cell r="E464" t="str">
            <v>86856340642</v>
          </cell>
        </row>
        <row r="465">
          <cell r="A465">
            <v>67041039</v>
          </cell>
          <cell r="B465" t="str">
            <v xml:space="preserve">AURA ISABEL TORRES </v>
          </cell>
          <cell r="C465" t="str">
            <v>BANCOMEVA</v>
          </cell>
          <cell r="D465" t="str">
            <v>AHORRO</v>
          </cell>
          <cell r="E465" t="str">
            <v>010802864381</v>
          </cell>
        </row>
        <row r="466">
          <cell r="A466">
            <v>76314869</v>
          </cell>
          <cell r="B466" t="str">
            <v>HUGO IVAN BOLAÑOS</v>
          </cell>
          <cell r="C466" t="str">
            <v>BANCOLOMBIA</v>
          </cell>
          <cell r="D466" t="str">
            <v>AHORRO</v>
          </cell>
          <cell r="E466">
            <v>6554051187</v>
          </cell>
        </row>
        <row r="467">
          <cell r="A467">
            <v>800254752</v>
          </cell>
          <cell r="B467" t="str">
            <v>CUERPO DE BOMBEROS VOLUNTARIOS DE SANTANDER DE QUILICHAO</v>
          </cell>
          <cell r="C467" t="str">
            <v>BANCO DE BOGOTA</v>
          </cell>
          <cell r="D467" t="str">
            <v>CORRIENTE</v>
          </cell>
          <cell r="E467" t="str">
            <v>111082319</v>
          </cell>
        </row>
        <row r="468">
          <cell r="A468">
            <v>1059447735</v>
          </cell>
          <cell r="B468" t="str">
            <v>MANUEL ALEJANDRO SINISTERRA PLAYONERO</v>
          </cell>
          <cell r="C468" t="str">
            <v>BANCOLOMBIA</v>
          </cell>
          <cell r="D468" t="str">
            <v>AHORRO</v>
          </cell>
          <cell r="E468" t="str">
            <v>03178057508</v>
          </cell>
        </row>
        <row r="469">
          <cell r="A469">
            <v>891580027</v>
          </cell>
          <cell r="B469" t="str">
            <v>CUERPO DE BOMBEROS VOLUNTARIOS DE PUERTO</v>
          </cell>
          <cell r="C469" t="str">
            <v>BANCO DE BOGOTA</v>
          </cell>
          <cell r="D469" t="str">
            <v>CORRIENTE</v>
          </cell>
          <cell r="E469" t="str">
            <v>181045246</v>
          </cell>
        </row>
        <row r="470">
          <cell r="A470">
            <v>901355656</v>
          </cell>
          <cell r="B470" t="str">
            <v>MDG INGENIERIA Y MECANIZADOS</v>
          </cell>
          <cell r="C470" t="str">
            <v>BANCOLOMBIA</v>
          </cell>
          <cell r="D470" t="str">
            <v>AHORRO</v>
          </cell>
          <cell r="E470" t="str">
            <v>82900001927</v>
          </cell>
        </row>
        <row r="471">
          <cell r="A471">
            <v>901220406</v>
          </cell>
          <cell r="B471" t="str">
            <v>TYRES MARKET DE OCCIDENTE</v>
          </cell>
          <cell r="C471" t="str">
            <v>BANCOLOMBIA</v>
          </cell>
          <cell r="D471" t="str">
            <v>AHORRO</v>
          </cell>
          <cell r="E471" t="str">
            <v>26100043628</v>
          </cell>
        </row>
        <row r="472">
          <cell r="A472">
            <v>1061738823</v>
          </cell>
          <cell r="B472" t="str">
            <v>LUIS MIGUEL ARCILA CAMACHO</v>
          </cell>
          <cell r="C472" t="str">
            <v>BANCOLOMBIA</v>
          </cell>
          <cell r="D472" t="str">
            <v>AHORRO</v>
          </cell>
          <cell r="E472" t="str">
            <v>06004941339</v>
          </cell>
        </row>
        <row r="473">
          <cell r="A473">
            <v>31539602</v>
          </cell>
          <cell r="B473" t="str">
            <v>PAULA ANDREA TRUJILLO SALDARRIAGA</v>
          </cell>
          <cell r="C473" t="str">
            <v>BANCOLOMBIA</v>
          </cell>
          <cell r="D473" t="str">
            <v>AHORRO</v>
          </cell>
          <cell r="E473" t="str">
            <v>06510650750</v>
          </cell>
        </row>
        <row r="474">
          <cell r="A474">
            <v>1111738162</v>
          </cell>
          <cell r="B474" t="str">
            <v>JOSE LUIS RIVAS MINOTTA</v>
          </cell>
          <cell r="C474" t="str">
            <v>BANCOLOMBIA</v>
          </cell>
          <cell r="D474" t="str">
            <v>AHORRO</v>
          </cell>
          <cell r="E474" t="str">
            <v>84334402338</v>
          </cell>
        </row>
        <row r="475">
          <cell r="A475">
            <v>41116085</v>
          </cell>
          <cell r="B475" t="str">
            <v>MARGOT QUINTERO CORDOBA</v>
          </cell>
          <cell r="C475" t="str">
            <v>BANCOLOMBIA</v>
          </cell>
          <cell r="D475" t="str">
            <v>AHORRO</v>
          </cell>
          <cell r="E475" t="str">
            <v>86837042731</v>
          </cell>
        </row>
        <row r="476">
          <cell r="A476">
            <v>34678521</v>
          </cell>
          <cell r="B476" t="str">
            <v>DAYSI GONZALEZ CARABALI</v>
          </cell>
          <cell r="C476" t="str">
            <v>BANCOLOMBIA</v>
          </cell>
          <cell r="D476" t="str">
            <v>AHORRO</v>
          </cell>
          <cell r="E476" t="str">
            <v>03186364915</v>
          </cell>
        </row>
        <row r="477">
          <cell r="A477">
            <v>1019016896</v>
          </cell>
          <cell r="B477" t="str">
            <v>JHONATAN ANGEL GONZAEZ</v>
          </cell>
          <cell r="C477" t="str">
            <v>BANCOLOMBIA</v>
          </cell>
          <cell r="D477" t="str">
            <v>AHORRO</v>
          </cell>
          <cell r="E477" t="str">
            <v>83805411085</v>
          </cell>
        </row>
        <row r="478">
          <cell r="A478">
            <v>900097709</v>
          </cell>
          <cell r="B478" t="str">
            <v>CUERPO BOMBEROS VOLUNTARIOS DE GUAPI</v>
          </cell>
          <cell r="C478" t="str">
            <v>BANCO AGRARIO</v>
          </cell>
          <cell r="D478" t="str">
            <v>AHORRO</v>
          </cell>
          <cell r="E478" t="str">
            <v>421250026231</v>
          </cell>
        </row>
        <row r="479">
          <cell r="A479">
            <v>1111741496</v>
          </cell>
          <cell r="B479" t="str">
            <v>MARLE SINISTERRA MICOLTA</v>
          </cell>
          <cell r="C479" t="str">
            <v>NEQUI</v>
          </cell>
          <cell r="D479" t="str">
            <v>AHORRO</v>
          </cell>
          <cell r="E479" t="str">
            <v>31563957866</v>
          </cell>
        </row>
        <row r="480">
          <cell r="A480">
            <v>900297074</v>
          </cell>
          <cell r="B480" t="str">
            <v>GLOBAL SYSTEM SOLUTIONS</v>
          </cell>
          <cell r="C480" t="str">
            <v>BANCOLOMBIA</v>
          </cell>
          <cell r="D480" t="str">
            <v>CORRIENTE</v>
          </cell>
          <cell r="E480" t="str">
            <v>38151582677</v>
          </cell>
        </row>
        <row r="481">
          <cell r="A481">
            <v>16270499</v>
          </cell>
          <cell r="B481" t="str">
            <v>GUILLERMO OSORIO SCARPETTA</v>
          </cell>
          <cell r="C481" t="str">
            <v>BANCOLOMBIA</v>
          </cell>
          <cell r="D481" t="str">
            <v>CORRIENTE</v>
          </cell>
          <cell r="E481" t="str">
            <v>86808077792</v>
          </cell>
        </row>
        <row r="482">
          <cell r="A482">
            <v>901250399</v>
          </cell>
          <cell r="B482" t="str">
            <v>TODO LLANTAS DEL CAUCA</v>
          </cell>
          <cell r="C482" t="str">
            <v>BANCOLOMBIA</v>
          </cell>
          <cell r="D482" t="str">
            <v>CORRIENTE</v>
          </cell>
          <cell r="E482" t="str">
            <v>86800013461</v>
          </cell>
        </row>
        <row r="483">
          <cell r="A483">
            <v>1059915192</v>
          </cell>
          <cell r="B483" t="str">
            <v>ALEXANDER ANGULO CORDOBA</v>
          </cell>
          <cell r="C483" t="str">
            <v>BANCOLOMBIA</v>
          </cell>
          <cell r="D483" t="str">
            <v>AHORROS</v>
          </cell>
          <cell r="E483" t="str">
            <v>06553253584</v>
          </cell>
        </row>
        <row r="484">
          <cell r="A484">
            <v>14636100</v>
          </cell>
          <cell r="B484" t="str">
            <v>MONZUR RAJMAN SHEK</v>
          </cell>
          <cell r="C484" t="str">
            <v>BANCO DE BOGOTA</v>
          </cell>
          <cell r="D484" t="str">
            <v>AHORROS</v>
          </cell>
          <cell r="E484" t="str">
            <v>181177957</v>
          </cell>
        </row>
        <row r="485">
          <cell r="A485">
            <v>1061734817</v>
          </cell>
          <cell r="B485" t="str">
            <v>RAFAEL BURBANO MAZORRA</v>
          </cell>
          <cell r="C485" t="str">
            <v>BANCOLOMBIA</v>
          </cell>
          <cell r="D485" t="str">
            <v>AHORROS</v>
          </cell>
          <cell r="E485" t="str">
            <v>91299959517</v>
          </cell>
        </row>
        <row r="486">
          <cell r="A486">
            <v>901761523</v>
          </cell>
          <cell r="B486" t="str">
            <v>URBAN GROUP SOLUCIONES EMPRESARIALES</v>
          </cell>
          <cell r="C486" t="str">
            <v>DAVIDIENDA</v>
          </cell>
          <cell r="D486" t="str">
            <v>CORRIENTE</v>
          </cell>
          <cell r="E486" t="str">
            <v>108969940940</v>
          </cell>
        </row>
        <row r="487">
          <cell r="A487">
            <v>76339752</v>
          </cell>
          <cell r="B487" t="str">
            <v>WISTON ALBEIRO PORTOCARRERO BALANTA</v>
          </cell>
          <cell r="C487" t="str">
            <v>BANCOLOMBIA</v>
          </cell>
          <cell r="D487" t="str">
            <v>AHORROS</v>
          </cell>
          <cell r="E487" t="str">
            <v>86800017949</v>
          </cell>
        </row>
        <row r="488">
          <cell r="A488">
            <v>10741056</v>
          </cell>
          <cell r="B488" t="str">
            <v xml:space="preserve">HELMER ADIEL BERNAL MOSQUERA </v>
          </cell>
          <cell r="C488" t="str">
            <v>NEQUI</v>
          </cell>
          <cell r="D488" t="str">
            <v>AHORROS</v>
          </cell>
          <cell r="E488" t="str">
            <v>3124331288</v>
          </cell>
        </row>
        <row r="489">
          <cell r="A489">
            <v>1062325308</v>
          </cell>
          <cell r="B489" t="str">
            <v xml:space="preserve">JOSE JOAQUIN ARARATH GUAZA </v>
          </cell>
          <cell r="C489" t="str">
            <v>BANCOLOMBIA</v>
          </cell>
          <cell r="D489" t="str">
            <v>AHORRO</v>
          </cell>
          <cell r="E489">
            <v>3216095890</v>
          </cell>
        </row>
        <row r="490">
          <cell r="A490">
            <v>76314334</v>
          </cell>
          <cell r="B490" t="str">
            <v>JOSE ROBERT GARCIA FAJARDO</v>
          </cell>
          <cell r="C490" t="str">
            <v>BANCOLOMBIA</v>
          </cell>
          <cell r="D490" t="str">
            <v>AHORRO</v>
          </cell>
          <cell r="E490" t="str">
            <v>269124692201</v>
          </cell>
        </row>
        <row r="491">
          <cell r="A491">
            <v>901515082</v>
          </cell>
          <cell r="B491" t="str">
            <v>COMERCIALIZADORA TODO MOTOS LA 15</v>
          </cell>
          <cell r="C491" t="str">
            <v>BANCOLOMBIA</v>
          </cell>
          <cell r="D491" t="str">
            <v>AHORRO</v>
          </cell>
          <cell r="E491" t="str">
            <v>75000002362</v>
          </cell>
        </row>
        <row r="492">
          <cell r="A492">
            <v>900159184</v>
          </cell>
          <cell r="B492" t="str">
            <v>IMPORTACIONES Y EXPORTACIONES MUNDO INDU</v>
          </cell>
          <cell r="C492" t="str">
            <v>BANCOLOMBIA</v>
          </cell>
          <cell r="D492" t="str">
            <v>AHORRO</v>
          </cell>
          <cell r="E492" t="str">
            <v>22749305541</v>
          </cell>
        </row>
        <row r="493">
          <cell r="A493">
            <v>10558301</v>
          </cell>
          <cell r="B493" t="str">
            <v>LUIS CASTRO</v>
          </cell>
          <cell r="C493" t="str">
            <v>BANCO DE BOGOTA</v>
          </cell>
          <cell r="D493" t="str">
            <v>CORRIENTE</v>
          </cell>
          <cell r="E493" t="str">
            <v>181230905</v>
          </cell>
        </row>
        <row r="494">
          <cell r="A494">
            <v>900536565</v>
          </cell>
          <cell r="B494" t="str">
            <v>SOLUCIONES TEXTILES DEL SUROCCIDENTE</v>
          </cell>
          <cell r="C494" t="str">
            <v>BANCOLOMBIA</v>
          </cell>
          <cell r="D494" t="str">
            <v>AHORROS</v>
          </cell>
          <cell r="E494" t="str">
            <v>86800002675</v>
          </cell>
        </row>
        <row r="495">
          <cell r="A495">
            <v>76308442</v>
          </cell>
          <cell r="B495" t="str">
            <v>JULIO EFRAIN DIAZ SANCHEZ</v>
          </cell>
          <cell r="C495" t="str">
            <v>BANCOLOMBIA</v>
          </cell>
          <cell r="D495" t="str">
            <v>AHORROS</v>
          </cell>
          <cell r="E495" t="str">
            <v>26157663649</v>
          </cell>
        </row>
        <row r="496">
          <cell r="A496">
            <v>10553115</v>
          </cell>
          <cell r="B496" t="str">
            <v>OSWALDO GOMEZ MONCADA</v>
          </cell>
          <cell r="C496" t="str">
            <v>BANCO DE BOGOTA</v>
          </cell>
          <cell r="D496" t="str">
            <v>AHORRO</v>
          </cell>
          <cell r="E496" t="str">
            <v>477036743</v>
          </cell>
        </row>
        <row r="497">
          <cell r="A497">
            <v>16589938</v>
          </cell>
          <cell r="B497" t="str">
            <v xml:space="preserve">HENRY HUMBERTO RIOS </v>
          </cell>
          <cell r="C497" t="str">
            <v>COLPATRIA</v>
          </cell>
          <cell r="D497" t="str">
            <v>AHORRO</v>
          </cell>
          <cell r="E497" t="str">
            <v>595201828</v>
          </cell>
        </row>
        <row r="498">
          <cell r="A498">
            <v>1115187619</v>
          </cell>
          <cell r="B498" t="str">
            <v>JULIAN ANDRES CEBALLOS</v>
          </cell>
          <cell r="C498" t="str">
            <v>BANCOLOMBIA</v>
          </cell>
          <cell r="D498" t="str">
            <v>AHORRO</v>
          </cell>
          <cell r="E498" t="str">
            <v>80832565567</v>
          </cell>
        </row>
        <row r="499">
          <cell r="A499">
            <v>10498385</v>
          </cell>
          <cell r="B499" t="str">
            <v>JUAN CARLOS IDROBO MARTINEZ</v>
          </cell>
          <cell r="C499" t="str">
            <v>NEQUI</v>
          </cell>
          <cell r="D499" t="str">
            <v>AHORRO</v>
          </cell>
          <cell r="E499" t="str">
            <v>3148015285</v>
          </cell>
        </row>
        <row r="500">
          <cell r="A500">
            <v>890900943</v>
          </cell>
          <cell r="B500" t="str">
            <v>COLOMBIANA DE COMERCIO</v>
          </cell>
          <cell r="C500" t="str">
            <v>BANCOLOMBIA</v>
          </cell>
          <cell r="D500" t="str">
            <v>CORRIENTE</v>
          </cell>
          <cell r="E500" t="str">
            <v>23183574009</v>
          </cell>
        </row>
        <row r="501">
          <cell r="A501">
            <v>79688903</v>
          </cell>
          <cell r="B501" t="str">
            <v>JAIME ARTURO BARRANCO</v>
          </cell>
          <cell r="C501" t="str">
            <v>DAVIPLATA</v>
          </cell>
          <cell r="D501" t="str">
            <v>AHORRO</v>
          </cell>
          <cell r="E501">
            <v>3105527077</v>
          </cell>
        </row>
        <row r="502">
          <cell r="A502">
            <v>901753996</v>
          </cell>
          <cell r="B502" t="str">
            <v>PINCOR OBRAS CIVILES</v>
          </cell>
          <cell r="C502" t="str">
            <v>BANCO DE BOGOTA</v>
          </cell>
          <cell r="D502" t="str">
            <v>AHORROS</v>
          </cell>
          <cell r="E502" t="str">
            <v>566654265</v>
          </cell>
        </row>
        <row r="503">
          <cell r="A503">
            <v>14797030</v>
          </cell>
          <cell r="B503" t="str">
            <v>JAIME OSPINA GONZALES</v>
          </cell>
          <cell r="C503" t="str">
            <v>BANCOLOMBIA</v>
          </cell>
          <cell r="D503" t="str">
            <v>AHORROS</v>
          </cell>
          <cell r="E503" t="str">
            <v>03155410434</v>
          </cell>
        </row>
        <row r="504">
          <cell r="A504">
            <v>1059980557</v>
          </cell>
          <cell r="B504" t="str">
            <v>JUAN PABLO IBARRA CARABALI</v>
          </cell>
          <cell r="C504" t="str">
            <v>BANCOLOMBIA</v>
          </cell>
          <cell r="D504" t="str">
            <v>AHORROS</v>
          </cell>
          <cell r="E504" t="str">
            <v>83852509743</v>
          </cell>
        </row>
        <row r="505">
          <cell r="A505">
            <v>79519351</v>
          </cell>
          <cell r="B505" t="str">
            <v>ALVARO RIAÑO CIFUENTES</v>
          </cell>
          <cell r="C505" t="str">
            <v>BANCOLOMBIA</v>
          </cell>
          <cell r="D505" t="str">
            <v>AHORROS</v>
          </cell>
          <cell r="E505" t="str">
            <v>91221616109</v>
          </cell>
        </row>
        <row r="506">
          <cell r="A506">
            <v>1059981541</v>
          </cell>
          <cell r="B506" t="str">
            <v>MARIA DEL PILAR LOPEZ BELALCAZAR</v>
          </cell>
          <cell r="C506" t="str">
            <v>BANCOLOMBIA</v>
          </cell>
          <cell r="D506" t="str">
            <v>AHORRO</v>
          </cell>
          <cell r="E506" t="str">
            <v>86626895974</v>
          </cell>
        </row>
        <row r="507">
          <cell r="A507">
            <v>4679638</v>
          </cell>
          <cell r="B507" t="str">
            <v>JEREMIAS GARCIA SOLIS</v>
          </cell>
          <cell r="C507" t="str">
            <v>BANCO AGRARIO</v>
          </cell>
          <cell r="D507" t="str">
            <v>AHORRPS</v>
          </cell>
          <cell r="E507" t="str">
            <v>421250096221</v>
          </cell>
        </row>
        <row r="508">
          <cell r="A508">
            <v>10481620</v>
          </cell>
          <cell r="B508" t="str">
            <v>GERMAN ANTONIO CARDENAS</v>
          </cell>
          <cell r="C508" t="str">
            <v>NEQUI</v>
          </cell>
          <cell r="D508" t="str">
            <v>AHORROS</v>
          </cell>
          <cell r="E508" t="str">
            <v>3013333669</v>
          </cell>
        </row>
        <row r="509">
          <cell r="A509">
            <v>1061816597</v>
          </cell>
          <cell r="B509" t="str">
            <v>CARLOS DANIEL CASTILLO OJEDA</v>
          </cell>
          <cell r="C509" t="str">
            <v>NEQUI</v>
          </cell>
          <cell r="D509" t="str">
            <v>AHORROS</v>
          </cell>
          <cell r="E509" t="str">
            <v>3023345190</v>
          </cell>
        </row>
        <row r="510">
          <cell r="A510">
            <v>1144097770</v>
          </cell>
          <cell r="B510" t="str">
            <v>WENDY MICHELLE MURILLO</v>
          </cell>
          <cell r="C510" t="str">
            <v>DAVIVIENDA</v>
          </cell>
          <cell r="D510" t="str">
            <v>AHORROS</v>
          </cell>
          <cell r="E510" t="str">
            <v>0550019400006052</v>
          </cell>
        </row>
        <row r="511">
          <cell r="A511">
            <v>34615893</v>
          </cell>
          <cell r="B511" t="str">
            <v>CLAUDIA YOLIMA CATCOLI/ OVEIMAR CHAVES GUMAZ</v>
          </cell>
          <cell r="C511" t="str">
            <v>DAVIVIENDA</v>
          </cell>
          <cell r="D511" t="str">
            <v>AHORROS</v>
          </cell>
          <cell r="E511" t="str">
            <v>0550011800203348</v>
          </cell>
        </row>
        <row r="512">
          <cell r="A512">
            <v>4779277</v>
          </cell>
          <cell r="B512" t="str">
            <v>VENTE FLOREZ NICOLAS</v>
          </cell>
          <cell r="C512" t="str">
            <v>BANCO AGRARIO</v>
          </cell>
          <cell r="D512" t="str">
            <v>AHORROS</v>
          </cell>
          <cell r="E512" t="str">
            <v>021800019467</v>
          </cell>
        </row>
        <row r="513">
          <cell r="A513">
            <v>900321419</v>
          </cell>
          <cell r="B513" t="str">
            <v>GRUPO CENAGRO</v>
          </cell>
          <cell r="C513" t="str">
            <v>BANCOLOMBIA</v>
          </cell>
          <cell r="D513" t="str">
            <v>CORRIENTE</v>
          </cell>
          <cell r="E513" t="str">
            <v>83854719202</v>
          </cell>
        </row>
        <row r="514">
          <cell r="A514">
            <v>900646801</v>
          </cell>
          <cell r="B514" t="str">
            <v>APLANCHADOS Y ALIMENTOS DOÑA CHEPA SAS</v>
          </cell>
          <cell r="C514" t="str">
            <v>BANCOLOMBIA</v>
          </cell>
          <cell r="D514" t="str">
            <v>AHORROS</v>
          </cell>
          <cell r="E514" t="str">
            <v>86819967956</v>
          </cell>
        </row>
        <row r="515">
          <cell r="A515">
            <v>1061743757</v>
          </cell>
          <cell r="B515" t="str">
            <v>ANDREA HURTADO AMAYA</v>
          </cell>
          <cell r="C515" t="str">
            <v>BANCOLOMBIA</v>
          </cell>
          <cell r="D515" t="str">
            <v>AHORROS</v>
          </cell>
          <cell r="E515" t="str">
            <v>26188199568</v>
          </cell>
        </row>
        <row r="516">
          <cell r="A516">
            <v>1061742218</v>
          </cell>
          <cell r="B516" t="str">
            <v>MANUEL FERNANDO MESIAS CASTRO</v>
          </cell>
          <cell r="C516" t="str">
            <v>BANCO DE BOGOTA</v>
          </cell>
          <cell r="D516" t="str">
            <v>AHORROS</v>
          </cell>
          <cell r="E516" t="str">
            <v>520651720</v>
          </cell>
        </row>
        <row r="517">
          <cell r="A517">
            <v>34537594</v>
          </cell>
          <cell r="B517" t="str">
            <v>LUZ MARINA VARELA DE SOLARTE</v>
          </cell>
          <cell r="C517" t="str">
            <v>DAVIVIENDA</v>
          </cell>
          <cell r="D517" t="str">
            <v>AHORROS</v>
          </cell>
          <cell r="E517" t="str">
            <v>196000802690</v>
          </cell>
        </row>
        <row r="518">
          <cell r="A518">
            <v>14836795</v>
          </cell>
          <cell r="B518" t="str">
            <v>MANUEL ALEJANDRO HURTADO GOMEZ</v>
          </cell>
          <cell r="C518" t="str">
            <v>BANCOLOMBIA</v>
          </cell>
          <cell r="D518" t="str">
            <v>AHORROS</v>
          </cell>
          <cell r="E518" t="str">
            <v>51480036003</v>
          </cell>
        </row>
        <row r="519">
          <cell r="A519">
            <v>76042433</v>
          </cell>
          <cell r="B519" t="str">
            <v>EDUAR ROJAS ORDONEZ</v>
          </cell>
          <cell r="C519" t="str">
            <v>NEQUI</v>
          </cell>
          <cell r="D519" t="str">
            <v>AHORROS</v>
          </cell>
          <cell r="E519" t="str">
            <v>3122002296</v>
          </cell>
        </row>
        <row r="520">
          <cell r="A520">
            <v>805019627</v>
          </cell>
          <cell r="B520" t="str">
            <v>GRUPO GAV $ CIA</v>
          </cell>
          <cell r="C520" t="str">
            <v>BANCOLOMBIA</v>
          </cell>
          <cell r="D520" t="str">
            <v>CORRIENTE</v>
          </cell>
          <cell r="E520" t="str">
            <v>06106595918</v>
          </cell>
        </row>
        <row r="521">
          <cell r="A521">
            <v>29683230</v>
          </cell>
          <cell r="B521" t="str">
            <v>PAOLA TATIANA MEDINA CIFUENTES</v>
          </cell>
          <cell r="C521" t="str">
            <v>BANCOMEVA</v>
          </cell>
          <cell r="D521" t="str">
            <v>AHORRO</v>
          </cell>
          <cell r="E521" t="str">
            <v>090105261601</v>
          </cell>
        </row>
        <row r="522">
          <cell r="A522">
            <v>1059985802</v>
          </cell>
          <cell r="B522" t="str">
            <v>CRISTIAN DAVID FORI PEDRAHITA</v>
          </cell>
          <cell r="C522" t="str">
            <v>BANCOLOMBIA</v>
          </cell>
          <cell r="D522" t="str">
            <v>AHORRO</v>
          </cell>
          <cell r="E522" t="str">
            <v>03225261960</v>
          </cell>
        </row>
        <row r="523">
          <cell r="A523">
            <v>901086786</v>
          </cell>
          <cell r="B523" t="str">
            <v>CONSULTORIAS Y ASESORIAS DE LOS COLOMBIANOS SAS</v>
          </cell>
          <cell r="C523" t="str">
            <v>BANCO DE BOGOTA</v>
          </cell>
          <cell r="D523" t="str">
            <v>CORRIENTE</v>
          </cell>
          <cell r="E523" t="str">
            <v>044395804</v>
          </cell>
        </row>
        <row r="524">
          <cell r="A524">
            <v>76328119</v>
          </cell>
          <cell r="B524" t="str">
            <v>CARLOS ALBERTO YANDU PEÑA</v>
          </cell>
          <cell r="C524" t="str">
            <v>BANCOLOMBIA</v>
          </cell>
          <cell r="D524" t="str">
            <v>AHORRO</v>
          </cell>
          <cell r="E524" t="str">
            <v>26122221058</v>
          </cell>
        </row>
        <row r="525">
          <cell r="A525">
            <v>10548147</v>
          </cell>
          <cell r="B525" t="str">
            <v>CARLOS ARTURO SANCHEZ</v>
          </cell>
          <cell r="C525" t="str">
            <v>BANCOLOMBIA</v>
          </cell>
          <cell r="D525" t="str">
            <v>AHORRO</v>
          </cell>
          <cell r="E525" t="str">
            <v>93700000129</v>
          </cell>
        </row>
        <row r="526">
          <cell r="A526">
            <v>901065664</v>
          </cell>
          <cell r="B526" t="str">
            <v>GESTION DE COMPRAS EMPRESARIALES</v>
          </cell>
          <cell r="C526" t="str">
            <v>BANCOLOMBIA</v>
          </cell>
          <cell r="D526" t="str">
            <v>CORRIENTE</v>
          </cell>
          <cell r="E526" t="str">
            <v>37792838564</v>
          </cell>
        </row>
        <row r="527">
          <cell r="A527">
            <v>10386512</v>
          </cell>
          <cell r="B527" t="str">
            <v>JESUS ANTONIO ANCHICO</v>
          </cell>
          <cell r="C527" t="str">
            <v>DAVIPLATA</v>
          </cell>
          <cell r="D527" t="str">
            <v>AHORRO</v>
          </cell>
          <cell r="E527" t="str">
            <v>3126907907</v>
          </cell>
        </row>
        <row r="528">
          <cell r="A528">
            <v>19058571</v>
          </cell>
          <cell r="B528" t="str">
            <v>JAVIER CAUCAYO CORREA</v>
          </cell>
          <cell r="C528" t="str">
            <v>NEQUI</v>
          </cell>
          <cell r="D528" t="str">
            <v>AHORRO</v>
          </cell>
          <cell r="E528" t="str">
            <v>3128669179</v>
          </cell>
        </row>
        <row r="529">
          <cell r="A529">
            <v>900797163</v>
          </cell>
          <cell r="B529" t="str">
            <v>EMPRESA DE TRANSPORTE Y TURISMO DEL NORTE DEL CAUCA</v>
          </cell>
          <cell r="C529" t="str">
            <v>BANCO DE BOGOTA</v>
          </cell>
          <cell r="D529" t="str">
            <v>AHORRO</v>
          </cell>
          <cell r="E529" t="str">
            <v>181147448</v>
          </cell>
        </row>
        <row r="530">
          <cell r="A530">
            <v>10554333</v>
          </cell>
          <cell r="B530" t="str">
            <v>FRANCISCO CELORIO VIAFARA</v>
          </cell>
          <cell r="C530" t="str">
            <v>BANCO DE BOGOTA</v>
          </cell>
          <cell r="D530" t="str">
            <v>CORRIENTE</v>
          </cell>
          <cell r="E530" t="str">
            <v>181044363</v>
          </cell>
        </row>
        <row r="531">
          <cell r="A531">
            <v>10492634</v>
          </cell>
          <cell r="B531" t="str">
            <v>ALEX COLORADO GALINDEZ</v>
          </cell>
          <cell r="C531" t="str">
            <v>DAVIVIENDA</v>
          </cell>
          <cell r="D531" t="str">
            <v>AHORRO</v>
          </cell>
          <cell r="E531" t="str">
            <v>0550011800224948</v>
          </cell>
        </row>
        <row r="532">
          <cell r="A532">
            <v>79797342</v>
          </cell>
          <cell r="B532" t="str">
            <v>JUAN CARLOS OCAÑA</v>
          </cell>
          <cell r="C532" t="str">
            <v>BANCO DE BOGOTA</v>
          </cell>
          <cell r="D532" t="str">
            <v>AHORRO</v>
          </cell>
          <cell r="E532" t="str">
            <v>047451125</v>
          </cell>
        </row>
        <row r="533">
          <cell r="A533">
            <v>16700951</v>
          </cell>
          <cell r="B533" t="str">
            <v>DAGOBERTO VALENCIA CAICEDO</v>
          </cell>
          <cell r="C533" t="str">
            <v>BANCOLOMBIA</v>
          </cell>
          <cell r="D533" t="str">
            <v>AHORROS</v>
          </cell>
          <cell r="E533" t="str">
            <v>80384347006</v>
          </cell>
        </row>
        <row r="534">
          <cell r="A534">
            <v>1152699645</v>
          </cell>
          <cell r="B534" t="str">
            <v>MERCY INSUASTY - HOTEL LILI</v>
          </cell>
          <cell r="C534" t="str">
            <v>BANCOMEVA</v>
          </cell>
          <cell r="D534" t="str">
            <v>AHORROS</v>
          </cell>
          <cell r="E534" t="str">
            <v>010508631091</v>
          </cell>
        </row>
        <row r="535">
          <cell r="A535">
            <v>15380803</v>
          </cell>
          <cell r="B535" t="str">
            <v>GILBERTO DE JESUS RAMIREZ</v>
          </cell>
          <cell r="C535" t="str">
            <v>BANCOLOMBIA</v>
          </cell>
          <cell r="D535" t="str">
            <v>AHORROS</v>
          </cell>
          <cell r="E535" t="str">
            <v>91210290562</v>
          </cell>
        </row>
        <row r="536">
          <cell r="A536">
            <v>805021056</v>
          </cell>
          <cell r="B536" t="str">
            <v>TRANSPORTES ESPECIALES FLOR DEL VALLE</v>
          </cell>
          <cell r="C536" t="str">
            <v>BANCOLOMBIA</v>
          </cell>
          <cell r="D536" t="str">
            <v>AHORROS</v>
          </cell>
          <cell r="E536" t="str">
            <v>30015283522</v>
          </cell>
        </row>
        <row r="537">
          <cell r="A537">
            <v>16845436</v>
          </cell>
          <cell r="B537" t="str">
            <v>MILTON FABIAN PIEDRAHITA</v>
          </cell>
          <cell r="C537" t="str">
            <v>BANCO DE BOGOTA</v>
          </cell>
          <cell r="D537" t="str">
            <v>AHORROS</v>
          </cell>
          <cell r="E537" t="str">
            <v>14295644</v>
          </cell>
        </row>
        <row r="538">
          <cell r="A538">
            <v>900595930</v>
          </cell>
          <cell r="B538" t="str">
            <v>LA IMPRENTA DEL CAUCA</v>
          </cell>
          <cell r="C538" t="str">
            <v>BANCOLOMBIA</v>
          </cell>
          <cell r="D538" t="str">
            <v>CORRIENTE</v>
          </cell>
          <cell r="E538" t="str">
            <v>86894287992</v>
          </cell>
        </row>
        <row r="539">
          <cell r="A539">
            <v>800202146</v>
          </cell>
          <cell r="B539" t="str">
            <v xml:space="preserve">CIMEX COLOMBIA </v>
          </cell>
          <cell r="C539" t="str">
            <v>BANCOLOMBIA</v>
          </cell>
          <cell r="D539" t="str">
            <v>AHORROS</v>
          </cell>
          <cell r="E539" t="str">
            <v>82510680291</v>
          </cell>
        </row>
        <row r="540">
          <cell r="A540">
            <v>1061710134</v>
          </cell>
          <cell r="B540" t="str">
            <v>SEBASTIAN JARAMILLO GIRALDO</v>
          </cell>
          <cell r="C540" t="str">
            <v>BANCOLOMBIA</v>
          </cell>
          <cell r="D540" t="str">
            <v>AHORROS</v>
          </cell>
          <cell r="E540" t="str">
            <v>26519743522</v>
          </cell>
        </row>
        <row r="541">
          <cell r="A541">
            <v>10489352</v>
          </cell>
          <cell r="B541" t="str">
            <v>JOHN CARLOS GAMBA CASTAÑO</v>
          </cell>
          <cell r="C541" t="str">
            <v>BANCOLOMBIA</v>
          </cell>
          <cell r="D541" t="str">
            <v>AHORROS</v>
          </cell>
          <cell r="E541" t="str">
            <v>83865214556</v>
          </cell>
        </row>
        <row r="542">
          <cell r="A542">
            <v>10557753</v>
          </cell>
          <cell r="B542" t="str">
            <v>JORGE GUZMAN PEÑA</v>
          </cell>
          <cell r="C542" t="str">
            <v>BANCO DE OCCIDENTE</v>
          </cell>
          <cell r="D542" t="str">
            <v>AHORROS</v>
          </cell>
          <cell r="E542" t="str">
            <v>43817667</v>
          </cell>
        </row>
        <row r="543">
          <cell r="A543">
            <v>1061719419</v>
          </cell>
          <cell r="B543" t="str">
            <v>EFRAIN CARDONA DOMINGUEZ</v>
          </cell>
          <cell r="C543" t="str">
            <v>BANCOLOMBIA</v>
          </cell>
          <cell r="D543" t="str">
            <v>AHORROS</v>
          </cell>
          <cell r="E543" t="str">
            <v>86825602030</v>
          </cell>
        </row>
        <row r="544">
          <cell r="A544">
            <v>10496742</v>
          </cell>
          <cell r="B544" t="str">
            <v>HECTOR FABIO VERGARA ERAZO</v>
          </cell>
          <cell r="C544" t="str">
            <v>nequi</v>
          </cell>
          <cell r="D544" t="str">
            <v>AHORROS</v>
          </cell>
          <cell r="E544" t="str">
            <v>3216452894</v>
          </cell>
        </row>
        <row r="545">
          <cell r="A545">
            <v>16793170</v>
          </cell>
          <cell r="B545" t="str">
            <v>LUIS ALEXANDER VALENCIA</v>
          </cell>
          <cell r="C545" t="str">
            <v>BANCOLOMBIA</v>
          </cell>
          <cell r="D545" t="str">
            <v>AHORROS</v>
          </cell>
          <cell r="E545" t="str">
            <v>032-153506-83</v>
          </cell>
        </row>
        <row r="546">
          <cell r="A546">
            <v>900958101</v>
          </cell>
          <cell r="B546" t="str">
            <v>VIDRIOS Y ACCESORIOS SUR</v>
          </cell>
          <cell r="C546" t="str">
            <v>BANCOLOMBIA</v>
          </cell>
          <cell r="D546" t="str">
            <v>AHORROS</v>
          </cell>
          <cell r="E546" t="str">
            <v>80800008844</v>
          </cell>
        </row>
        <row r="547">
          <cell r="A547">
            <v>1144063017</v>
          </cell>
          <cell r="B547" t="str">
            <v>MARIO FERNANDO JARRIN GARCES</v>
          </cell>
          <cell r="C547" t="str">
            <v>BANCOLOMBIA</v>
          </cell>
          <cell r="D547" t="str">
            <v>AHORROS</v>
          </cell>
          <cell r="E547" t="str">
            <v>83800006258</v>
          </cell>
        </row>
      </sheetData>
      <sheetData sheetId="3"/>
      <sheetData sheetId="4"/>
      <sheetData sheetId="5"/>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ctrlProp" Target="../ctrlProps/ctrlProp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93870-BE15-4F80-A7A6-A54AFB78D426}">
  <sheetPr codeName="Hoja1">
    <pageSetUpPr fitToPage="1"/>
  </sheetPr>
  <dimension ref="A1:AMJ64"/>
  <sheetViews>
    <sheetView topLeftCell="B1" zoomScale="70" zoomScaleNormal="70" workbookViewId="0">
      <pane ySplit="6" topLeftCell="A52" activePane="bottomLeft" state="frozen"/>
      <selection activeCell="C1" sqref="C1"/>
      <selection pane="bottomLeft" activeCell="Q55" sqref="Q55"/>
    </sheetView>
  </sheetViews>
  <sheetFormatPr baseColWidth="10" defaultColWidth="7.7265625" defaultRowHeight="13.5" x14ac:dyDescent="0.25"/>
  <cols>
    <col min="1" max="1" width="3.453125" style="13" hidden="1" customWidth="1"/>
    <col min="2" max="2" width="20.1796875" style="13" customWidth="1" collapsed="1"/>
    <col min="3" max="6" width="2.7265625" style="13" hidden="1" customWidth="1" collapsed="1"/>
    <col min="7" max="7" width="3.26953125" style="13" hidden="1" customWidth="1" collapsed="1"/>
    <col min="8" max="8" width="3.26953125" style="14" hidden="1" customWidth="1"/>
    <col min="9" max="9" width="22.7265625" style="58" customWidth="1" collapsed="1"/>
    <col min="10" max="10" width="16.7265625" style="13" customWidth="1" collapsed="1"/>
    <col min="11" max="11" width="7.453125" style="15" hidden="1" customWidth="1" collapsed="1"/>
    <col min="12" max="12" width="16.26953125" style="16" customWidth="1" collapsed="1"/>
    <col min="13" max="13" width="29.26953125" style="17" customWidth="1" collapsed="1"/>
    <col min="14" max="14" width="20.81640625" style="13" customWidth="1" collapsed="1"/>
    <col min="15" max="15" width="15.1796875" style="13" customWidth="1" collapsed="1"/>
    <col min="16" max="16" width="20" style="13" customWidth="1" collapsed="1"/>
    <col min="17" max="17" width="51.54296875" style="13" customWidth="1" collapsed="1"/>
    <col min="18" max="18" width="1.54296875" style="12" customWidth="1" collapsed="1"/>
    <col min="19" max="19" width="18.26953125" style="12" customWidth="1" collapsed="1"/>
    <col min="20" max="20" width="27.1796875" style="13" customWidth="1"/>
    <col min="21" max="1024" width="7.7265625" style="13"/>
    <col min="1025" max="16384" width="7.7265625" style="13" collapsed="1"/>
  </cols>
  <sheetData>
    <row r="1" spans="1:19" s="18" customFormat="1" ht="12" customHeight="1" x14ac:dyDescent="0.35">
      <c r="A1" s="188"/>
      <c r="B1" s="189"/>
      <c r="C1" s="189"/>
      <c r="D1" s="192"/>
      <c r="E1" s="192"/>
      <c r="F1" s="192"/>
      <c r="G1" s="192"/>
      <c r="H1" s="192"/>
      <c r="I1" s="192"/>
      <c r="J1" s="192"/>
      <c r="K1" s="192"/>
      <c r="L1" s="192"/>
      <c r="M1" s="192"/>
      <c r="N1" s="192"/>
      <c r="O1" s="192"/>
      <c r="P1" s="37" t="s">
        <v>24</v>
      </c>
      <c r="Q1" s="193"/>
      <c r="R1" s="38"/>
      <c r="S1" s="39"/>
    </row>
    <row r="2" spans="1:19" s="18" customFormat="1" ht="18.75" customHeight="1" x14ac:dyDescent="0.35">
      <c r="A2" s="190"/>
      <c r="B2" s="191"/>
      <c r="C2" s="191"/>
      <c r="D2" s="195" t="s">
        <v>0</v>
      </c>
      <c r="E2" s="195"/>
      <c r="F2" s="195"/>
      <c r="G2" s="195"/>
      <c r="H2" s="195"/>
      <c r="I2" s="195"/>
      <c r="J2" s="195"/>
      <c r="K2" s="195"/>
      <c r="L2" s="195"/>
      <c r="M2" s="195"/>
      <c r="N2" s="195"/>
      <c r="O2" s="195"/>
      <c r="P2" s="10" t="s">
        <v>25</v>
      </c>
      <c r="Q2" s="194"/>
      <c r="R2" s="20"/>
      <c r="S2" s="40"/>
    </row>
    <row r="3" spans="1:19" s="18" customFormat="1" ht="7.5" customHeight="1" x14ac:dyDescent="0.35">
      <c r="A3" s="190"/>
      <c r="B3" s="191"/>
      <c r="C3" s="191"/>
      <c r="D3" s="195"/>
      <c r="E3" s="195"/>
      <c r="F3" s="195"/>
      <c r="G3" s="195"/>
      <c r="H3" s="195"/>
      <c r="I3" s="195"/>
      <c r="J3" s="195"/>
      <c r="K3" s="195"/>
      <c r="L3" s="195"/>
      <c r="M3" s="195"/>
      <c r="N3" s="195"/>
      <c r="O3" s="195"/>
      <c r="P3" s="10" t="s">
        <v>26</v>
      </c>
      <c r="Q3" s="194"/>
      <c r="R3" s="20"/>
      <c r="S3" s="40"/>
    </row>
    <row r="4" spans="1:19" s="18" customFormat="1" ht="6.75" customHeight="1" thickBot="1" x14ac:dyDescent="0.4">
      <c r="A4" s="41"/>
      <c r="B4" s="9"/>
      <c r="C4" s="9"/>
      <c r="D4" s="9"/>
      <c r="E4" s="9"/>
      <c r="F4" s="8"/>
      <c r="G4" s="8"/>
      <c r="H4" s="42"/>
      <c r="I4" s="57"/>
      <c r="J4" s="43"/>
      <c r="K4" s="44"/>
      <c r="L4" s="45"/>
      <c r="M4" s="46"/>
      <c r="N4" s="47"/>
      <c r="O4" s="47"/>
      <c r="P4" s="47"/>
      <c r="Q4" s="48"/>
      <c r="R4" s="20"/>
      <c r="S4" s="40"/>
    </row>
    <row r="5" spans="1:19" s="19" customFormat="1" ht="36" customHeight="1" thickBot="1" x14ac:dyDescent="0.3">
      <c r="A5" s="196" t="s">
        <v>1</v>
      </c>
      <c r="B5" s="196"/>
      <c r="C5" s="197" t="s">
        <v>34</v>
      </c>
      <c r="D5" s="197"/>
      <c r="E5" s="197"/>
      <c r="F5" s="197"/>
      <c r="G5" s="197"/>
      <c r="H5" s="197"/>
      <c r="I5" s="197"/>
      <c r="J5" s="198" t="s">
        <v>2</v>
      </c>
      <c r="K5" s="199"/>
      <c r="L5" s="22" t="s">
        <v>3</v>
      </c>
      <c r="M5" s="21" t="s">
        <v>27</v>
      </c>
      <c r="N5" s="23" t="s">
        <v>4</v>
      </c>
      <c r="O5" s="200" t="s">
        <v>5</v>
      </c>
      <c r="P5" s="200"/>
      <c r="Q5" s="11" t="s">
        <v>28</v>
      </c>
      <c r="R5" s="49"/>
      <c r="S5" s="50"/>
    </row>
    <row r="6" spans="1:19" ht="69.5" thickBot="1" x14ac:dyDescent="0.3">
      <c r="A6" s="2" t="s">
        <v>6</v>
      </c>
      <c r="B6" s="51" t="s">
        <v>7</v>
      </c>
      <c r="C6" s="52" t="s">
        <v>8</v>
      </c>
      <c r="D6" s="53" t="s">
        <v>9</v>
      </c>
      <c r="E6" s="53" t="s">
        <v>10</v>
      </c>
      <c r="F6" s="53" t="s">
        <v>11</v>
      </c>
      <c r="G6" s="53" t="s">
        <v>12</v>
      </c>
      <c r="H6" s="52" t="s">
        <v>13</v>
      </c>
      <c r="I6" s="52" t="s">
        <v>14</v>
      </c>
      <c r="J6" s="52" t="s">
        <v>15</v>
      </c>
      <c r="K6" s="52" t="s">
        <v>16</v>
      </c>
      <c r="L6" s="54" t="s">
        <v>18</v>
      </c>
      <c r="M6" s="52" t="s">
        <v>17</v>
      </c>
      <c r="N6" s="52" t="s">
        <v>19</v>
      </c>
      <c r="O6" s="52" t="s">
        <v>20</v>
      </c>
      <c r="P6" s="52" t="s">
        <v>21</v>
      </c>
      <c r="Q6" s="34" t="s">
        <v>22</v>
      </c>
      <c r="S6" s="34" t="s">
        <v>23</v>
      </c>
    </row>
    <row r="7" spans="1:19" s="60" customFormat="1" ht="68" thickBot="1" x14ac:dyDescent="0.3">
      <c r="A7" s="63"/>
      <c r="B7" s="73">
        <f>706753+880367</f>
        <v>1587120</v>
      </c>
      <c r="C7" s="74"/>
      <c r="D7" s="66"/>
      <c r="E7" s="66"/>
      <c r="F7" s="66"/>
      <c r="G7" s="66"/>
      <c r="H7" s="67"/>
      <c r="I7" s="68" t="s">
        <v>35</v>
      </c>
      <c r="J7" s="69">
        <v>23359505</v>
      </c>
      <c r="K7" s="69">
        <v>23359505</v>
      </c>
      <c r="L7" s="35">
        <v>900933434</v>
      </c>
      <c r="M7" s="36" t="e">
        <f>VLOOKUP(L7,#REF!,2,0)</f>
        <v>#REF!</v>
      </c>
      <c r="N7" s="70" t="e">
        <f>VLOOKUP(L7,#REF!,3,0)</f>
        <v>#REF!</v>
      </c>
      <c r="O7" s="70" t="e">
        <f>VLOOKUP(L7,#REF!,4,0)</f>
        <v>#REF!</v>
      </c>
      <c r="P7" s="70" t="e">
        <f>VLOOKUP(L7,#REF!,5,0)</f>
        <v>#REF!</v>
      </c>
      <c r="Q7" s="68" t="s">
        <v>37</v>
      </c>
      <c r="S7" s="75" t="s">
        <v>36</v>
      </c>
    </row>
    <row r="8" spans="1:19" s="60" customFormat="1" ht="41" thickBot="1" x14ac:dyDescent="0.3">
      <c r="A8" s="63"/>
      <c r="B8" s="73">
        <v>1650165</v>
      </c>
      <c r="C8" s="74"/>
      <c r="D8" s="66"/>
      <c r="E8" s="66"/>
      <c r="F8" s="66"/>
      <c r="G8" s="66"/>
      <c r="H8" s="67"/>
      <c r="I8" s="68" t="s">
        <v>38</v>
      </c>
      <c r="J8" s="69">
        <v>23359505</v>
      </c>
      <c r="K8" s="69"/>
      <c r="L8" s="35">
        <v>800115720</v>
      </c>
      <c r="M8" s="36" t="e">
        <f>VLOOKUP(L8,#REF!,2,0)</f>
        <v>#REF!</v>
      </c>
      <c r="N8" s="70" t="e">
        <f>VLOOKUP(L8,#REF!,3,0)</f>
        <v>#REF!</v>
      </c>
      <c r="O8" s="70" t="e">
        <f>VLOOKUP(L8,#REF!,4,0)</f>
        <v>#REF!</v>
      </c>
      <c r="P8" s="70" t="e">
        <f>VLOOKUP(L8,#REF!,5,0)</f>
        <v>#REF!</v>
      </c>
      <c r="Q8" s="68" t="s">
        <v>40</v>
      </c>
      <c r="S8" s="75" t="s">
        <v>39</v>
      </c>
    </row>
    <row r="9" spans="1:19" s="60" customFormat="1" ht="27.5" thickBot="1" x14ac:dyDescent="0.3">
      <c r="A9" s="76"/>
      <c r="B9" s="73">
        <v>1751416</v>
      </c>
      <c r="C9" s="74"/>
      <c r="D9" s="77"/>
      <c r="E9" s="77"/>
      <c r="F9" s="77"/>
      <c r="G9" s="77"/>
      <c r="H9" s="78"/>
      <c r="I9" s="68" t="s">
        <v>41</v>
      </c>
      <c r="J9" s="69">
        <v>23359505</v>
      </c>
      <c r="K9" s="69"/>
      <c r="L9" s="79">
        <v>34609530</v>
      </c>
      <c r="M9" s="36" t="e">
        <f>VLOOKUP(L9,#REF!,2,0)</f>
        <v>#REF!</v>
      </c>
      <c r="N9" s="70" t="e">
        <f>VLOOKUP(L9,#REF!,3,0)</f>
        <v>#REF!</v>
      </c>
      <c r="O9" s="70" t="e">
        <f>VLOOKUP(L9,#REF!,4,0)</f>
        <v>#REF!</v>
      </c>
      <c r="P9" s="70" t="e">
        <f>VLOOKUP(L9,#REF!,5,0)</f>
        <v>#REF!</v>
      </c>
      <c r="Q9" s="68" t="s">
        <v>43</v>
      </c>
      <c r="S9" s="75" t="s">
        <v>42</v>
      </c>
    </row>
    <row r="10" spans="1:19" s="60" customFormat="1" ht="54" x14ac:dyDescent="0.25">
      <c r="A10" s="63"/>
      <c r="B10" s="73">
        <v>1444600</v>
      </c>
      <c r="C10" s="74"/>
      <c r="D10" s="66"/>
      <c r="E10" s="66"/>
      <c r="F10" s="66"/>
      <c r="G10" s="66"/>
      <c r="H10" s="67"/>
      <c r="I10" s="68" t="s">
        <v>44</v>
      </c>
      <c r="J10" s="69">
        <v>23359505</v>
      </c>
      <c r="K10" s="69"/>
      <c r="L10" s="35">
        <v>805028971</v>
      </c>
      <c r="M10" s="36" t="e">
        <f>VLOOKUP(L10,#REF!,2,0)</f>
        <v>#REF!</v>
      </c>
      <c r="N10" s="70" t="e">
        <f>VLOOKUP(L10,#REF!,3,0)</f>
        <v>#REF!</v>
      </c>
      <c r="O10" s="70" t="e">
        <f>VLOOKUP(L10,#REF!,4,0)</f>
        <v>#REF!</v>
      </c>
      <c r="P10" s="70" t="e">
        <f>VLOOKUP(L10,#REF!,5,0)</f>
        <v>#REF!</v>
      </c>
      <c r="Q10" s="68" t="s">
        <v>46</v>
      </c>
      <c r="S10" s="75" t="s">
        <v>45</v>
      </c>
    </row>
    <row r="11" spans="1:19" s="60" customFormat="1" ht="40.5" x14ac:dyDescent="0.25">
      <c r="A11" s="63"/>
      <c r="B11" s="73">
        <v>3611500</v>
      </c>
      <c r="C11" s="74"/>
      <c r="D11" s="66"/>
      <c r="E11" s="66"/>
      <c r="F11" s="66"/>
      <c r="G11" s="66"/>
      <c r="H11" s="67"/>
      <c r="I11" s="68" t="s">
        <v>47</v>
      </c>
      <c r="J11" s="69">
        <v>23359505</v>
      </c>
      <c r="K11" s="69"/>
      <c r="L11" s="35">
        <v>901095203</v>
      </c>
      <c r="M11" s="36" t="e">
        <f>VLOOKUP(L11,#REF!,2,0)</f>
        <v>#REF!</v>
      </c>
      <c r="N11" s="70" t="e">
        <f>VLOOKUP(L11,#REF!,3,0)</f>
        <v>#REF!</v>
      </c>
      <c r="O11" s="70" t="e">
        <f>VLOOKUP(L11,#REF!,4,0)</f>
        <v>#REF!</v>
      </c>
      <c r="P11" s="70" t="e">
        <f>VLOOKUP(L11,#REF!,5,0)</f>
        <v>#REF!</v>
      </c>
      <c r="Q11" s="68" t="s">
        <v>49</v>
      </c>
      <c r="S11" s="80" t="s">
        <v>48</v>
      </c>
    </row>
    <row r="12" spans="1:19" s="60" customFormat="1" ht="94.5" x14ac:dyDescent="0.25">
      <c r="A12" s="63"/>
      <c r="B12" s="73">
        <f>190400+1274000+321300</f>
        <v>1785700</v>
      </c>
      <c r="C12" s="74"/>
      <c r="D12" s="66"/>
      <c r="E12" s="66"/>
      <c r="F12" s="66"/>
      <c r="G12" s="66"/>
      <c r="H12" s="67"/>
      <c r="I12" s="68" t="s">
        <v>50</v>
      </c>
      <c r="J12" s="69">
        <v>23359505</v>
      </c>
      <c r="K12" s="69"/>
      <c r="L12" s="35">
        <v>1143939878</v>
      </c>
      <c r="M12" s="36" t="e">
        <f>VLOOKUP(L12,#REF!,2,0)</f>
        <v>#REF!</v>
      </c>
      <c r="N12" s="70" t="e">
        <f>VLOOKUP(L12,#REF!,3,0)</f>
        <v>#REF!</v>
      </c>
      <c r="O12" s="70" t="e">
        <f>VLOOKUP(L12,#REF!,4,0)</f>
        <v>#REF!</v>
      </c>
      <c r="P12" s="70" t="e">
        <f>VLOOKUP(L12,#REF!,5,0)</f>
        <v>#REF!</v>
      </c>
      <c r="Q12" s="68" t="s">
        <v>51</v>
      </c>
      <c r="S12" s="80" t="s">
        <v>149</v>
      </c>
    </row>
    <row r="13" spans="1:19" s="60" customFormat="1" ht="40.5" x14ac:dyDescent="0.25">
      <c r="A13" s="63"/>
      <c r="B13" s="73">
        <v>5750000</v>
      </c>
      <c r="C13" s="74"/>
      <c r="D13" s="66"/>
      <c r="E13" s="66"/>
      <c r="F13" s="66"/>
      <c r="G13" s="66"/>
      <c r="H13" s="67"/>
      <c r="I13" s="68" t="s">
        <v>52</v>
      </c>
      <c r="J13" s="69">
        <v>23359505</v>
      </c>
      <c r="K13" s="69"/>
      <c r="L13" s="35">
        <v>900218859</v>
      </c>
      <c r="M13" s="36" t="e">
        <f>VLOOKUP(L13,#REF!,2,0)</f>
        <v>#REF!</v>
      </c>
      <c r="N13" s="70" t="e">
        <f>VLOOKUP(L13,#REF!,3,0)</f>
        <v>#REF!</v>
      </c>
      <c r="O13" s="70" t="e">
        <f>VLOOKUP(L13,#REF!,4,0)</f>
        <v>#REF!</v>
      </c>
      <c r="P13" s="70" t="e">
        <f>VLOOKUP(L13,#REF!,5,0)</f>
        <v>#REF!</v>
      </c>
      <c r="Q13" s="68" t="s">
        <v>54</v>
      </c>
      <c r="S13" s="80" t="s">
        <v>53</v>
      </c>
    </row>
    <row r="14" spans="1:19" s="60" customFormat="1" ht="40.5" x14ac:dyDescent="0.25">
      <c r="A14" s="63"/>
      <c r="B14" s="73">
        <v>550000</v>
      </c>
      <c r="C14" s="74"/>
      <c r="D14" s="66"/>
      <c r="E14" s="66"/>
      <c r="F14" s="66"/>
      <c r="G14" s="66"/>
      <c r="H14" s="67"/>
      <c r="I14" s="68" t="s">
        <v>55</v>
      </c>
      <c r="J14" s="69">
        <v>23359505</v>
      </c>
      <c r="K14" s="69">
        <v>23</v>
      </c>
      <c r="L14" s="35">
        <v>34537020</v>
      </c>
      <c r="M14" s="36" t="e">
        <f>VLOOKUP(L14,#REF!,2,0)</f>
        <v>#REF!</v>
      </c>
      <c r="N14" s="70" t="e">
        <f>VLOOKUP(L14,#REF!,3,0)</f>
        <v>#REF!</v>
      </c>
      <c r="O14" s="70" t="e">
        <f>VLOOKUP(L14,#REF!,4,0)</f>
        <v>#REF!</v>
      </c>
      <c r="P14" s="70" t="e">
        <f>VLOOKUP(L14,#REF!,5,0)</f>
        <v>#REF!</v>
      </c>
      <c r="Q14" s="68" t="s">
        <v>57</v>
      </c>
      <c r="S14" s="72" t="s">
        <v>56</v>
      </c>
    </row>
    <row r="15" spans="1:19" s="60" customFormat="1" ht="40.5" x14ac:dyDescent="0.25">
      <c r="A15" s="63"/>
      <c r="B15" s="73">
        <v>274453</v>
      </c>
      <c r="C15" s="74"/>
      <c r="D15" s="66"/>
      <c r="E15" s="66"/>
      <c r="F15" s="66"/>
      <c r="G15" s="66"/>
      <c r="H15" s="67"/>
      <c r="I15" s="68" t="s">
        <v>58</v>
      </c>
      <c r="J15" s="69">
        <v>23359505</v>
      </c>
      <c r="K15" s="69"/>
      <c r="L15" s="35">
        <v>800185326</v>
      </c>
      <c r="M15" s="36" t="e">
        <f>VLOOKUP(L15,#REF!,2,0)</f>
        <v>#REF!</v>
      </c>
      <c r="N15" s="70" t="e">
        <f>VLOOKUP(L15,#REF!,3,0)</f>
        <v>#REF!</v>
      </c>
      <c r="O15" s="70" t="e">
        <f>VLOOKUP(L15,#REF!,4,0)</f>
        <v>#REF!</v>
      </c>
      <c r="P15" s="70" t="e">
        <f>VLOOKUP(L15,#REF!,5,0)</f>
        <v>#REF!</v>
      </c>
      <c r="Q15" s="68" t="s">
        <v>59</v>
      </c>
      <c r="S15" s="72" t="s">
        <v>148</v>
      </c>
    </row>
    <row r="16" spans="1:19" s="60" customFormat="1" ht="67.5" x14ac:dyDescent="0.25">
      <c r="A16" s="63"/>
      <c r="B16" s="73">
        <f>351225+1107601</f>
        <v>1458826</v>
      </c>
      <c r="C16" s="74"/>
      <c r="D16" s="66"/>
      <c r="E16" s="66"/>
      <c r="F16" s="66"/>
      <c r="G16" s="66"/>
      <c r="H16" s="67"/>
      <c r="I16" s="68" t="s">
        <v>61</v>
      </c>
      <c r="J16" s="69">
        <v>23355002</v>
      </c>
      <c r="K16" s="69"/>
      <c r="L16" s="35">
        <v>900677732</v>
      </c>
      <c r="M16" s="36" t="s">
        <v>60</v>
      </c>
      <c r="N16" s="70" t="s">
        <v>33</v>
      </c>
      <c r="O16" s="70" t="s">
        <v>33</v>
      </c>
      <c r="P16" s="70" t="s">
        <v>33</v>
      </c>
      <c r="Q16" s="68" t="s">
        <v>63</v>
      </c>
      <c r="S16" s="72" t="s">
        <v>62</v>
      </c>
    </row>
    <row r="17" spans="1:20" s="60" customFormat="1" ht="27" x14ac:dyDescent="0.25">
      <c r="A17" s="63"/>
      <c r="B17" s="73">
        <v>3719812</v>
      </c>
      <c r="C17" s="74"/>
      <c r="D17" s="66"/>
      <c r="E17" s="66"/>
      <c r="F17" s="66"/>
      <c r="G17" s="66"/>
      <c r="H17" s="67"/>
      <c r="I17" s="68" t="s">
        <v>64</v>
      </c>
      <c r="J17" s="69">
        <v>23359505</v>
      </c>
      <c r="K17" s="69"/>
      <c r="L17" s="35">
        <v>860039988</v>
      </c>
      <c r="M17" s="36" t="e">
        <f>VLOOKUP(L17,#REF!,2,0)</f>
        <v>#REF!</v>
      </c>
      <c r="N17" s="70" t="e">
        <f>VLOOKUP(L17,#REF!,3,0)</f>
        <v>#REF!</v>
      </c>
      <c r="O17" s="70" t="e">
        <f>VLOOKUP(L17,#REF!,4,0)</f>
        <v>#REF!</v>
      </c>
      <c r="P17" s="70" t="e">
        <f>VLOOKUP(L17,#REF!,5,0)</f>
        <v>#REF!</v>
      </c>
      <c r="Q17" s="68" t="s">
        <v>66</v>
      </c>
      <c r="S17" s="72" t="s">
        <v>65</v>
      </c>
    </row>
    <row r="18" spans="1:20" s="60" customFormat="1" ht="54" x14ac:dyDescent="0.25">
      <c r="A18" s="63"/>
      <c r="B18" s="73">
        <v>825240</v>
      </c>
      <c r="C18" s="74"/>
      <c r="D18" s="66"/>
      <c r="E18" s="66"/>
      <c r="F18" s="66"/>
      <c r="G18" s="66"/>
      <c r="H18" s="67"/>
      <c r="I18" s="68" t="s">
        <v>67</v>
      </c>
      <c r="J18" s="69">
        <v>23359505</v>
      </c>
      <c r="K18" s="69"/>
      <c r="L18" s="35">
        <v>900361602</v>
      </c>
      <c r="M18" s="36" t="e">
        <f>VLOOKUP(L18,#REF!,2,0)</f>
        <v>#REF!</v>
      </c>
      <c r="N18" s="70" t="e">
        <f>VLOOKUP(L18,#REF!,3,0)</f>
        <v>#REF!</v>
      </c>
      <c r="O18" s="70" t="e">
        <f>VLOOKUP(L18,#REF!,4,0)</f>
        <v>#REF!</v>
      </c>
      <c r="P18" s="70" t="e">
        <f>VLOOKUP(L18,#REF!,5,0)</f>
        <v>#REF!</v>
      </c>
      <c r="Q18" s="60" t="s">
        <v>69</v>
      </c>
      <c r="S18" s="72" t="s">
        <v>68</v>
      </c>
    </row>
    <row r="19" spans="1:20" s="60" customFormat="1" ht="40.5" x14ac:dyDescent="0.25">
      <c r="A19" s="63"/>
      <c r="B19" s="73">
        <v>1575000</v>
      </c>
      <c r="C19" s="74"/>
      <c r="D19" s="66"/>
      <c r="E19" s="66"/>
      <c r="F19" s="66"/>
      <c r="G19" s="66"/>
      <c r="H19" s="67"/>
      <c r="I19" s="68" t="s">
        <v>70</v>
      </c>
      <c r="J19" s="69">
        <v>23359505</v>
      </c>
      <c r="K19" s="69"/>
      <c r="L19" s="35">
        <v>1061762331</v>
      </c>
      <c r="M19" s="36" t="e">
        <f>VLOOKUP(L19,#REF!,2,0)</f>
        <v>#REF!</v>
      </c>
      <c r="N19" s="70" t="e">
        <f>VLOOKUP(L19,#REF!,3,0)</f>
        <v>#REF!</v>
      </c>
      <c r="O19" s="70" t="e">
        <f>VLOOKUP(L19,#REF!,4,0)</f>
        <v>#REF!</v>
      </c>
      <c r="P19" s="70" t="e">
        <f>VLOOKUP(L19,#REF!,5,0)</f>
        <v>#REF!</v>
      </c>
      <c r="Q19" s="68" t="s">
        <v>72</v>
      </c>
      <c r="S19" s="72" t="s">
        <v>71</v>
      </c>
    </row>
    <row r="20" spans="1:20" s="60" customFormat="1" ht="27" x14ac:dyDescent="0.25">
      <c r="A20" s="63"/>
      <c r="B20" s="73">
        <v>1145900</v>
      </c>
      <c r="C20" s="74"/>
      <c r="D20" s="66"/>
      <c r="E20" s="66"/>
      <c r="F20" s="66"/>
      <c r="G20" s="66"/>
      <c r="H20" s="67"/>
      <c r="I20" s="68">
        <v>5381559</v>
      </c>
      <c r="J20" s="69">
        <v>22050102</v>
      </c>
      <c r="K20" s="69"/>
      <c r="L20" s="35">
        <v>890304049</v>
      </c>
      <c r="M20" s="36" t="e">
        <f>VLOOKUP(L20,#REF!,2,0)</f>
        <v>#REF!</v>
      </c>
      <c r="N20" s="70" t="e">
        <f>VLOOKUP(L20,#REF!,3,0)</f>
        <v>#REF!</v>
      </c>
      <c r="O20" s="70" t="e">
        <f>VLOOKUP(L20,#REF!,4,0)</f>
        <v>#REF!</v>
      </c>
      <c r="P20" s="70" t="e">
        <f>VLOOKUP(L20,#REF!,5,0)</f>
        <v>#REF!</v>
      </c>
      <c r="Q20" s="68" t="s">
        <v>74</v>
      </c>
      <c r="S20" s="72" t="s">
        <v>73</v>
      </c>
    </row>
    <row r="21" spans="1:20" s="60" customFormat="1" ht="54" x14ac:dyDescent="0.25">
      <c r="A21" s="63"/>
      <c r="B21" s="73">
        <v>22892250</v>
      </c>
      <c r="C21" s="74"/>
      <c r="D21" s="66"/>
      <c r="E21" s="66"/>
      <c r="F21" s="66"/>
      <c r="G21" s="66"/>
      <c r="H21" s="67"/>
      <c r="I21" s="68" t="s">
        <v>75</v>
      </c>
      <c r="J21" s="69">
        <v>23359505</v>
      </c>
      <c r="K21" s="69"/>
      <c r="L21" s="35">
        <v>900375592</v>
      </c>
      <c r="M21" s="36" t="e">
        <f>VLOOKUP(L21,#REF!,2,0)</f>
        <v>#REF!</v>
      </c>
      <c r="N21" s="70" t="e">
        <f>VLOOKUP(L21,#REF!,3,0)</f>
        <v>#REF!</v>
      </c>
      <c r="O21" s="70" t="e">
        <f>VLOOKUP(L21,#REF!,4,0)</f>
        <v>#REF!</v>
      </c>
      <c r="P21" s="70" t="e">
        <f>VLOOKUP(L21,#REF!,5,0)</f>
        <v>#REF!</v>
      </c>
      <c r="Q21" s="68" t="s">
        <v>77</v>
      </c>
      <c r="S21" s="72" t="s">
        <v>76</v>
      </c>
    </row>
    <row r="22" spans="1:20" s="60" customFormat="1" ht="40.5" x14ac:dyDescent="0.25">
      <c r="A22" s="63"/>
      <c r="B22" s="73">
        <v>5392128</v>
      </c>
      <c r="C22" s="74"/>
      <c r="D22" s="66"/>
      <c r="E22" s="66"/>
      <c r="F22" s="66"/>
      <c r="G22" s="66"/>
      <c r="H22" s="67"/>
      <c r="I22" s="68" t="s">
        <v>78</v>
      </c>
      <c r="J22" s="69">
        <v>23352502</v>
      </c>
      <c r="K22" s="69"/>
      <c r="L22" s="35">
        <v>901002398</v>
      </c>
      <c r="M22" s="36" t="e">
        <f>VLOOKUP(L22,#REF!,2,0)</f>
        <v>#REF!</v>
      </c>
      <c r="N22" s="70" t="e">
        <f>VLOOKUP(L22,#REF!,3,0)</f>
        <v>#REF!</v>
      </c>
      <c r="O22" s="70" t="e">
        <f>VLOOKUP(L22,#REF!,4,0)</f>
        <v>#REF!</v>
      </c>
      <c r="P22" s="70" t="e">
        <f>VLOOKUP(L22,#REF!,5,0)</f>
        <v>#REF!</v>
      </c>
      <c r="Q22" s="68" t="s">
        <v>79</v>
      </c>
      <c r="S22" s="72" t="s">
        <v>150</v>
      </c>
    </row>
    <row r="23" spans="1:20" s="60" customFormat="1" ht="40.5" x14ac:dyDescent="0.25">
      <c r="A23" s="63"/>
      <c r="B23" s="73">
        <v>8634537</v>
      </c>
      <c r="C23" s="74"/>
      <c r="D23" s="66"/>
      <c r="E23" s="66"/>
      <c r="F23" s="66"/>
      <c r="G23" s="66"/>
      <c r="H23" s="67"/>
      <c r="I23" s="68">
        <v>5001449918</v>
      </c>
      <c r="J23" s="69">
        <v>22050102</v>
      </c>
      <c r="K23" s="69"/>
      <c r="L23" s="35">
        <v>860014923</v>
      </c>
      <c r="M23" s="36" t="e">
        <f>VLOOKUP(L23,#REF!,2,0)</f>
        <v>#REF!</v>
      </c>
      <c r="N23" s="70" t="e">
        <f>VLOOKUP(L23,#REF!,3,0)</f>
        <v>#REF!</v>
      </c>
      <c r="O23" s="70" t="e">
        <f>VLOOKUP(L23,#REF!,4,0)</f>
        <v>#REF!</v>
      </c>
      <c r="P23" s="70" t="e">
        <f>VLOOKUP(L23,#REF!,5,0)</f>
        <v>#REF!</v>
      </c>
      <c r="Q23" s="68" t="s">
        <v>81</v>
      </c>
      <c r="S23" s="72" t="s">
        <v>80</v>
      </c>
    </row>
    <row r="24" spans="1:20" s="60" customFormat="1" ht="27" x14ac:dyDescent="0.25">
      <c r="A24" s="63"/>
      <c r="B24" s="73">
        <v>939250</v>
      </c>
      <c r="C24" s="74"/>
      <c r="D24" s="66"/>
      <c r="E24" s="66"/>
      <c r="F24" s="66"/>
      <c r="G24" s="66"/>
      <c r="H24" s="67"/>
      <c r="I24" s="68">
        <v>1839</v>
      </c>
      <c r="J24" s="69">
        <v>23359505</v>
      </c>
      <c r="K24" s="69"/>
      <c r="L24" s="35">
        <v>901174726</v>
      </c>
      <c r="M24" s="36" t="e">
        <f>VLOOKUP(L24,#REF!,2,0)</f>
        <v>#REF!</v>
      </c>
      <c r="N24" s="70" t="e">
        <f>VLOOKUP(L24,#REF!,3,0)</f>
        <v>#REF!</v>
      </c>
      <c r="O24" s="70" t="e">
        <f>VLOOKUP(L24,#REF!,4,0)</f>
        <v>#REF!</v>
      </c>
      <c r="P24" s="70" t="e">
        <f>VLOOKUP(L24,#REF!,5,0)</f>
        <v>#REF!</v>
      </c>
      <c r="Q24" s="68" t="s">
        <v>83</v>
      </c>
      <c r="S24" s="72" t="s">
        <v>82</v>
      </c>
    </row>
    <row r="25" spans="1:20" s="60" customFormat="1" ht="81" x14ac:dyDescent="0.25">
      <c r="A25" s="63"/>
      <c r="B25" s="73">
        <f>2609067+2934800</f>
        <v>5543867</v>
      </c>
      <c r="C25" s="74"/>
      <c r="D25" s="66"/>
      <c r="E25" s="66"/>
      <c r="F25" s="66"/>
      <c r="G25" s="66"/>
      <c r="H25" s="67"/>
      <c r="I25" s="68" t="s">
        <v>84</v>
      </c>
      <c r="J25" s="69">
        <v>23359505</v>
      </c>
      <c r="K25" s="69"/>
      <c r="L25" s="35">
        <v>900174087</v>
      </c>
      <c r="M25" s="36" t="e">
        <f>VLOOKUP(L25,#REF!,2,0)</f>
        <v>#REF!</v>
      </c>
      <c r="N25" s="70" t="e">
        <f>VLOOKUP(L25,#REF!,3,0)</f>
        <v>#REF!</v>
      </c>
      <c r="O25" s="70" t="e">
        <f>VLOOKUP(L25,#REF!,4,0)</f>
        <v>#REF!</v>
      </c>
      <c r="P25" s="70" t="e">
        <f>VLOOKUP(L25,#REF!,5,0)</f>
        <v>#REF!</v>
      </c>
      <c r="Q25" s="68" t="s">
        <v>86</v>
      </c>
      <c r="S25" s="72" t="s">
        <v>85</v>
      </c>
    </row>
    <row r="26" spans="1:20" s="60" customFormat="1" ht="81.5" thickBot="1" x14ac:dyDescent="0.3">
      <c r="A26" s="63"/>
      <c r="B26" s="73">
        <f>308798+2188497</f>
        <v>2497295</v>
      </c>
      <c r="C26" s="74"/>
      <c r="D26" s="66"/>
      <c r="E26" s="66"/>
      <c r="F26" s="66"/>
      <c r="G26" s="66"/>
      <c r="H26" s="67"/>
      <c r="I26" s="68" t="s">
        <v>87</v>
      </c>
      <c r="J26" s="69">
        <v>23359505</v>
      </c>
      <c r="K26" s="69"/>
      <c r="L26" s="35">
        <v>800049104</v>
      </c>
      <c r="M26" s="36" t="e">
        <f>VLOOKUP(L26,#REF!,2,0)</f>
        <v>#REF!</v>
      </c>
      <c r="N26" s="70" t="e">
        <f>VLOOKUP(L26,#REF!,3,0)</f>
        <v>#REF!</v>
      </c>
      <c r="O26" s="70" t="e">
        <f>VLOOKUP(L26,#REF!,4,0)</f>
        <v>#REF!</v>
      </c>
      <c r="P26" s="70" t="e">
        <f>VLOOKUP(L26,#REF!,5,0)</f>
        <v>#REF!</v>
      </c>
      <c r="Q26" s="68" t="s">
        <v>89</v>
      </c>
      <c r="S26" s="72" t="s">
        <v>88</v>
      </c>
    </row>
    <row r="27" spans="1:20" s="71" customFormat="1" ht="41" thickBot="1" x14ac:dyDescent="0.3">
      <c r="A27" s="63"/>
      <c r="B27" s="64">
        <v>463450</v>
      </c>
      <c r="C27" s="65"/>
      <c r="D27" s="66"/>
      <c r="E27" s="66"/>
      <c r="F27" s="66"/>
      <c r="G27" s="66"/>
      <c r="H27" s="67"/>
      <c r="I27" s="68" t="s">
        <v>90</v>
      </c>
      <c r="J27" s="69">
        <v>23359505</v>
      </c>
      <c r="K27" s="69"/>
      <c r="L27" s="35">
        <v>900297803</v>
      </c>
      <c r="M27" s="36" t="e">
        <f>VLOOKUP(L27,#REF!,2,0)</f>
        <v>#REF!</v>
      </c>
      <c r="N27" s="70" t="e">
        <f>VLOOKUP(L27,#REF!,3,0)</f>
        <v>#REF!</v>
      </c>
      <c r="O27" s="70" t="e">
        <f>VLOOKUP(L27,#REF!,4,0)</f>
        <v>#REF!</v>
      </c>
      <c r="P27" s="70" t="e">
        <f>VLOOKUP(L27,#REF!,5,0)</f>
        <v>#REF!</v>
      </c>
      <c r="Q27" s="68" t="s">
        <v>92</v>
      </c>
      <c r="S27" s="72" t="s">
        <v>91</v>
      </c>
      <c r="T27" s="81"/>
    </row>
    <row r="28" spans="1:20" s="71" customFormat="1" ht="40.5" x14ac:dyDescent="0.25">
      <c r="A28" s="63"/>
      <c r="B28" s="64">
        <v>3552085</v>
      </c>
      <c r="C28" s="65"/>
      <c r="D28" s="66"/>
      <c r="E28" s="66"/>
      <c r="F28" s="66"/>
      <c r="G28" s="66"/>
      <c r="H28" s="67"/>
      <c r="I28" s="68" t="s">
        <v>93</v>
      </c>
      <c r="J28" s="69">
        <v>23359505</v>
      </c>
      <c r="K28" s="69"/>
      <c r="L28" s="35">
        <v>900950832</v>
      </c>
      <c r="M28" s="36" t="e">
        <f>VLOOKUP(L28,#REF!,2,0)</f>
        <v>#REF!</v>
      </c>
      <c r="N28" s="70" t="e">
        <f>VLOOKUP(L28,#REF!,3,0)</f>
        <v>#REF!</v>
      </c>
      <c r="O28" s="70" t="e">
        <f>VLOOKUP(L28,#REF!,4,0)</f>
        <v>#REF!</v>
      </c>
      <c r="P28" s="70" t="e">
        <f>VLOOKUP(L28,#REF!,5,0)</f>
        <v>#REF!</v>
      </c>
      <c r="Q28" s="68" t="s">
        <v>95</v>
      </c>
      <c r="S28" s="72" t="s">
        <v>94</v>
      </c>
    </row>
    <row r="29" spans="1:20" s="71" customFormat="1" ht="27" x14ac:dyDescent="0.25">
      <c r="A29" s="63"/>
      <c r="B29" s="64">
        <v>2956677</v>
      </c>
      <c r="C29" s="65"/>
      <c r="D29" s="66"/>
      <c r="E29" s="66"/>
      <c r="F29" s="66"/>
      <c r="G29" s="66"/>
      <c r="H29" s="67"/>
      <c r="I29" s="68" t="s">
        <v>96</v>
      </c>
      <c r="J29" s="69">
        <v>23359505</v>
      </c>
      <c r="K29" s="69"/>
      <c r="L29" s="35">
        <v>817000499</v>
      </c>
      <c r="M29" s="36" t="e">
        <f>VLOOKUP(L29,#REF!,2,0)</f>
        <v>#REF!</v>
      </c>
      <c r="N29" s="70" t="e">
        <f>VLOOKUP(L29,#REF!,3,0)</f>
        <v>#REF!</v>
      </c>
      <c r="O29" s="70" t="e">
        <f>VLOOKUP(L29,#REF!,4,0)</f>
        <v>#REF!</v>
      </c>
      <c r="P29" s="70" t="e">
        <f>VLOOKUP(L29,#REF!,5,0)</f>
        <v>#REF!</v>
      </c>
      <c r="Q29" s="68" t="s">
        <v>98</v>
      </c>
      <c r="S29" s="72" t="s">
        <v>97</v>
      </c>
    </row>
    <row r="30" spans="1:20" s="71" customFormat="1" ht="40.5" x14ac:dyDescent="0.25">
      <c r="A30" s="63"/>
      <c r="B30" s="64">
        <v>232364</v>
      </c>
      <c r="C30" s="65"/>
      <c r="D30" s="66"/>
      <c r="E30" s="66"/>
      <c r="F30" s="66"/>
      <c r="G30" s="66"/>
      <c r="H30" s="67"/>
      <c r="I30" s="68" t="s">
        <v>99</v>
      </c>
      <c r="J30" s="69">
        <v>23359505</v>
      </c>
      <c r="K30" s="69"/>
      <c r="L30" s="35">
        <v>800169376</v>
      </c>
      <c r="M30" s="36" t="e">
        <f>VLOOKUP(L30,#REF!,2,0)</f>
        <v>#REF!</v>
      </c>
      <c r="N30" s="70" t="e">
        <f>VLOOKUP(L30,#REF!,3,0)</f>
        <v>#REF!</v>
      </c>
      <c r="O30" s="70" t="e">
        <f>VLOOKUP(L30,#REF!,4,0)</f>
        <v>#REF!</v>
      </c>
      <c r="P30" s="70" t="e">
        <f>VLOOKUP(L30,#REF!,5,0)</f>
        <v>#REF!</v>
      </c>
      <c r="Q30" s="68" t="s">
        <v>101</v>
      </c>
      <c r="S30" s="72" t="s">
        <v>100</v>
      </c>
    </row>
    <row r="31" spans="1:20" s="71" customFormat="1" ht="54" x14ac:dyDescent="0.25">
      <c r="A31" s="63"/>
      <c r="B31" s="64">
        <v>1103856</v>
      </c>
      <c r="C31" s="65"/>
      <c r="D31" s="66"/>
      <c r="E31" s="66"/>
      <c r="F31" s="66"/>
      <c r="G31" s="66"/>
      <c r="H31" s="67"/>
      <c r="I31" s="68" t="s">
        <v>102</v>
      </c>
      <c r="J31" s="69">
        <v>23359505</v>
      </c>
      <c r="K31" s="69"/>
      <c r="L31" s="35">
        <v>900352786</v>
      </c>
      <c r="M31" s="36" t="e">
        <f>VLOOKUP(L31,#REF!,2,0)</f>
        <v>#REF!</v>
      </c>
      <c r="N31" s="70" t="e">
        <f>VLOOKUP(L31,#REF!,3,0)</f>
        <v>#REF!</v>
      </c>
      <c r="O31" s="70" t="e">
        <f>VLOOKUP(L31,#REF!,4,0)</f>
        <v>#REF!</v>
      </c>
      <c r="P31" s="70" t="e">
        <f>VLOOKUP(L31,#REF!,5,0)</f>
        <v>#REF!</v>
      </c>
      <c r="Q31" s="68" t="s">
        <v>104</v>
      </c>
      <c r="S31" s="72" t="s">
        <v>103</v>
      </c>
    </row>
    <row r="32" spans="1:20" s="71" customFormat="1" ht="40.5" x14ac:dyDescent="0.25">
      <c r="A32" s="63"/>
      <c r="B32" s="64">
        <v>1226712</v>
      </c>
      <c r="C32" s="65"/>
      <c r="D32" s="66"/>
      <c r="E32" s="66"/>
      <c r="F32" s="66"/>
      <c r="G32" s="66"/>
      <c r="H32" s="67"/>
      <c r="I32" s="68">
        <v>267222</v>
      </c>
      <c r="J32" s="69">
        <v>23359505</v>
      </c>
      <c r="K32" s="69"/>
      <c r="L32" s="35">
        <v>805030163</v>
      </c>
      <c r="M32" s="36" t="e">
        <f>VLOOKUP(L32,#REF!,2,0)</f>
        <v>#REF!</v>
      </c>
      <c r="N32" s="70" t="e">
        <f>VLOOKUP(L32,#REF!,3,0)</f>
        <v>#REF!</v>
      </c>
      <c r="O32" s="70" t="e">
        <f>VLOOKUP(L32,#REF!,4,0)</f>
        <v>#REF!</v>
      </c>
      <c r="P32" s="70" t="e">
        <f>VLOOKUP(L32,#REF!,5,0)</f>
        <v>#REF!</v>
      </c>
      <c r="Q32" s="68" t="s">
        <v>106</v>
      </c>
      <c r="S32" s="72" t="s">
        <v>105</v>
      </c>
    </row>
    <row r="33" spans="1:19" s="71" customFormat="1" ht="27" x14ac:dyDescent="0.25">
      <c r="A33" s="63"/>
      <c r="B33" s="64">
        <v>675000</v>
      </c>
      <c r="C33" s="65"/>
      <c r="D33" s="66"/>
      <c r="E33" s="66"/>
      <c r="F33" s="66"/>
      <c r="G33" s="66"/>
      <c r="H33" s="67"/>
      <c r="I33" s="68"/>
      <c r="J33" s="69">
        <v>23359505</v>
      </c>
      <c r="K33" s="69"/>
      <c r="L33" s="35">
        <v>1061793315</v>
      </c>
      <c r="M33" s="36" t="e">
        <f>VLOOKUP(L33,#REF!,2,0)</f>
        <v>#REF!</v>
      </c>
      <c r="N33" s="70" t="e">
        <f>VLOOKUP(L33,#REF!,3,0)</f>
        <v>#REF!</v>
      </c>
      <c r="O33" s="70" t="e">
        <f>VLOOKUP(L33,#REF!,4,0)</f>
        <v>#REF!</v>
      </c>
      <c r="P33" s="70" t="e">
        <f>VLOOKUP(L33,#REF!,5,0)</f>
        <v>#REF!</v>
      </c>
      <c r="Q33" s="68" t="s">
        <v>110</v>
      </c>
      <c r="S33" s="72" t="s">
        <v>109</v>
      </c>
    </row>
    <row r="34" spans="1:19" s="71" customFormat="1" ht="54" x14ac:dyDescent="0.25">
      <c r="A34" s="63"/>
      <c r="B34" s="64">
        <v>25526983</v>
      </c>
      <c r="C34" s="65"/>
      <c r="D34" s="66"/>
      <c r="E34" s="66"/>
      <c r="F34" s="66"/>
      <c r="G34" s="66"/>
      <c r="H34" s="67"/>
      <c r="I34" s="68"/>
      <c r="J34" s="69">
        <v>23359505</v>
      </c>
      <c r="K34" s="69"/>
      <c r="L34" s="35">
        <v>891300382</v>
      </c>
      <c r="M34" s="36" t="e">
        <f>VLOOKUP(L34,#REF!,2,0)</f>
        <v>#REF!</v>
      </c>
      <c r="N34" s="70" t="e">
        <f>VLOOKUP(L34,#REF!,3,0)</f>
        <v>#REF!</v>
      </c>
      <c r="O34" s="70" t="e">
        <f>VLOOKUP(L34,#REF!,4,0)</f>
        <v>#REF!</v>
      </c>
      <c r="P34" s="70" t="e">
        <f>VLOOKUP(L34,#REF!,5,0)</f>
        <v>#REF!</v>
      </c>
      <c r="Q34" s="68" t="s">
        <v>146</v>
      </c>
      <c r="S34" s="72" t="s">
        <v>144</v>
      </c>
    </row>
    <row r="35" spans="1:19" s="71" customFormat="1" ht="67.5" x14ac:dyDescent="0.25">
      <c r="A35" s="63"/>
      <c r="B35" s="64">
        <v>14536900</v>
      </c>
      <c r="C35" s="65"/>
      <c r="D35" s="66"/>
      <c r="E35" s="66"/>
      <c r="F35" s="66"/>
      <c r="G35" s="66"/>
      <c r="H35" s="67"/>
      <c r="I35" s="68"/>
      <c r="J35" s="69">
        <v>23359505</v>
      </c>
      <c r="K35" s="69"/>
      <c r="L35" s="35">
        <v>800156716</v>
      </c>
      <c r="M35" s="36" t="e">
        <f>VLOOKUP(L35,#REF!,2,0)</f>
        <v>#REF!</v>
      </c>
      <c r="N35" s="70" t="e">
        <f>VLOOKUP(L35,#REF!,3,0)</f>
        <v>#REF!</v>
      </c>
      <c r="O35" s="70" t="e">
        <f>VLOOKUP(L35,#REF!,4,0)</f>
        <v>#REF!</v>
      </c>
      <c r="P35" s="70" t="e">
        <f>VLOOKUP(L35,#REF!,5,0)</f>
        <v>#REF!</v>
      </c>
      <c r="Q35" s="68" t="s">
        <v>147</v>
      </c>
      <c r="S35" s="72" t="s">
        <v>145</v>
      </c>
    </row>
    <row r="36" spans="1:19" s="71" customFormat="1" ht="37.5" x14ac:dyDescent="0.25">
      <c r="A36" s="63"/>
      <c r="B36" s="64">
        <v>400000</v>
      </c>
      <c r="C36" s="65"/>
      <c r="D36" s="66"/>
      <c r="E36" s="66"/>
      <c r="F36" s="66"/>
      <c r="G36" s="66"/>
      <c r="H36" s="67"/>
      <c r="I36" s="68">
        <v>26</v>
      </c>
      <c r="J36" s="69">
        <v>23359505</v>
      </c>
      <c r="K36" s="69"/>
      <c r="L36" s="35">
        <v>38287506</v>
      </c>
      <c r="M36" s="36" t="e">
        <f>VLOOKUP(L36,#REF!,2,0)</f>
        <v>#REF!</v>
      </c>
      <c r="N36" s="70" t="e">
        <f>VLOOKUP(L36,#REF!,3,0)</f>
        <v>#REF!</v>
      </c>
      <c r="O36" s="70" t="e">
        <f>VLOOKUP(L36,#REF!,4,0)</f>
        <v>#REF!</v>
      </c>
      <c r="P36" s="70" t="e">
        <f>VLOOKUP(L36,#REF!,5,0)</f>
        <v>#REF!</v>
      </c>
      <c r="Q36" s="82" t="s">
        <v>108</v>
      </c>
      <c r="S36" s="72" t="s">
        <v>107</v>
      </c>
    </row>
    <row r="37" spans="1:19" s="71" customFormat="1" ht="67.5" x14ac:dyDescent="0.25">
      <c r="A37" s="63"/>
      <c r="B37" s="64">
        <f>160000+160000</f>
        <v>320000</v>
      </c>
      <c r="C37" s="65"/>
      <c r="D37" s="66"/>
      <c r="E37" s="66"/>
      <c r="F37" s="66"/>
      <c r="G37" s="66"/>
      <c r="H37" s="67"/>
      <c r="I37" s="68"/>
      <c r="J37" s="69">
        <v>23359505</v>
      </c>
      <c r="K37" s="69"/>
      <c r="L37" s="35">
        <v>10128823</v>
      </c>
      <c r="M37" s="36" t="e">
        <f>VLOOKUP(L37,#REF!,2,0)</f>
        <v>#REF!</v>
      </c>
      <c r="N37" s="70" t="e">
        <f>VLOOKUP(L37,#REF!,3,0)</f>
        <v>#REF!</v>
      </c>
      <c r="O37" s="70" t="e">
        <f>VLOOKUP(L37,#REF!,4,0)</f>
        <v>#REF!</v>
      </c>
      <c r="P37" s="70" t="e">
        <f>VLOOKUP(L37,#REF!,5,0)</f>
        <v>#REF!</v>
      </c>
      <c r="Q37" s="68" t="s">
        <v>128</v>
      </c>
      <c r="S37" s="72" t="s">
        <v>151</v>
      </c>
    </row>
    <row r="38" spans="1:19" s="71" customFormat="1" ht="67.5" x14ac:dyDescent="0.25">
      <c r="A38" s="63"/>
      <c r="B38" s="83">
        <f>235000+357200</f>
        <v>592200</v>
      </c>
      <c r="C38" s="84"/>
      <c r="D38" s="66"/>
      <c r="E38" s="66"/>
      <c r="F38" s="66"/>
      <c r="G38" s="66"/>
      <c r="H38" s="67"/>
      <c r="I38" s="85"/>
      <c r="J38" s="86">
        <v>23359505</v>
      </c>
      <c r="K38" s="87"/>
      <c r="L38" s="56">
        <v>1061795086</v>
      </c>
      <c r="M38" s="92" t="e">
        <f>VLOOKUP(L38,#REF!,2,0)</f>
        <v>#REF!</v>
      </c>
      <c r="N38" s="88" t="e">
        <f>VLOOKUP(L38,#REF!,3,0)</f>
        <v>#REF!</v>
      </c>
      <c r="O38" s="89" t="e">
        <f>VLOOKUP(L38,#REF!,4,0)</f>
        <v>#REF!</v>
      </c>
      <c r="P38" s="88" t="e">
        <f>VLOOKUP(L38,#REF!,5,0)</f>
        <v>#REF!</v>
      </c>
      <c r="Q38" s="90" t="s">
        <v>123</v>
      </c>
      <c r="S38" s="72" t="s">
        <v>136</v>
      </c>
    </row>
    <row r="39" spans="1:19" s="71" customFormat="1" ht="67.5" x14ac:dyDescent="0.25">
      <c r="A39" s="63"/>
      <c r="B39" s="83">
        <v>130000</v>
      </c>
      <c r="C39" s="84"/>
      <c r="D39" s="66"/>
      <c r="E39" s="66"/>
      <c r="F39" s="66"/>
      <c r="G39" s="66"/>
      <c r="H39" s="67"/>
      <c r="I39" s="85"/>
      <c r="J39" s="86">
        <v>23359505</v>
      </c>
      <c r="K39" s="87"/>
      <c r="L39" s="56">
        <v>34326739</v>
      </c>
      <c r="M39" s="92" t="e">
        <f>VLOOKUP(L39,#REF!,2,0)</f>
        <v>#REF!</v>
      </c>
      <c r="N39" s="88" t="e">
        <f>VLOOKUP(L39,#REF!,3,0)</f>
        <v>#REF!</v>
      </c>
      <c r="O39" s="89" t="e">
        <f>VLOOKUP(L39,#REF!,4,0)</f>
        <v>#REF!</v>
      </c>
      <c r="P39" s="88" t="e">
        <f>VLOOKUP(L39,#REF!,5,0)</f>
        <v>#REF!</v>
      </c>
      <c r="Q39" s="90" t="s">
        <v>111</v>
      </c>
      <c r="S39" s="72" t="s">
        <v>112</v>
      </c>
    </row>
    <row r="40" spans="1:19" s="71" customFormat="1" ht="54" x14ac:dyDescent="0.25">
      <c r="A40" s="63"/>
      <c r="B40" s="83">
        <v>451200</v>
      </c>
      <c r="C40" s="84"/>
      <c r="D40" s="66"/>
      <c r="E40" s="66"/>
      <c r="F40" s="66"/>
      <c r="G40" s="66"/>
      <c r="H40" s="67"/>
      <c r="I40" s="85" t="s">
        <v>113</v>
      </c>
      <c r="J40" s="86">
        <v>23359505</v>
      </c>
      <c r="K40" s="87"/>
      <c r="L40" s="56">
        <v>10298579</v>
      </c>
      <c r="M40" s="92" t="e">
        <f>VLOOKUP(L40,#REF!,2,0)</f>
        <v>#REF!</v>
      </c>
      <c r="N40" s="88" t="e">
        <f>VLOOKUP(L40,#REF!,3,0)</f>
        <v>#REF!</v>
      </c>
      <c r="O40" s="89" t="e">
        <f>VLOOKUP(L40,#REF!,4,0)</f>
        <v>#REF!</v>
      </c>
      <c r="P40" s="88" t="e">
        <f>VLOOKUP(L40,#REF!,5,0)</f>
        <v>#REF!</v>
      </c>
      <c r="Q40" s="90" t="s">
        <v>114</v>
      </c>
      <c r="S40" s="72" t="s">
        <v>115</v>
      </c>
    </row>
    <row r="41" spans="1:19" s="71" customFormat="1" ht="81" x14ac:dyDescent="0.25">
      <c r="A41" s="63"/>
      <c r="B41" s="83">
        <f>820000+719500</f>
        <v>1539500</v>
      </c>
      <c r="C41" s="84"/>
      <c r="D41" s="66"/>
      <c r="E41" s="66"/>
      <c r="F41" s="66"/>
      <c r="G41" s="66"/>
      <c r="H41" s="67"/>
      <c r="I41" s="85" t="s">
        <v>118</v>
      </c>
      <c r="J41" s="86">
        <v>23359505</v>
      </c>
      <c r="K41" s="87"/>
      <c r="L41" s="56">
        <v>1144028273</v>
      </c>
      <c r="M41" s="92" t="e">
        <f>VLOOKUP(L41,#REF!,2,0)</f>
        <v>#REF!</v>
      </c>
      <c r="N41" s="88" t="e">
        <f>VLOOKUP(L41,#REF!,3,0)</f>
        <v>#REF!</v>
      </c>
      <c r="O41" s="89" t="e">
        <f>VLOOKUP(L41,#REF!,4,0)</f>
        <v>#REF!</v>
      </c>
      <c r="P41" s="88" t="e">
        <f>VLOOKUP(L41,#REF!,5,0)</f>
        <v>#REF!</v>
      </c>
      <c r="Q41" s="90" t="s">
        <v>119</v>
      </c>
      <c r="S41" s="72" t="s">
        <v>131</v>
      </c>
    </row>
    <row r="42" spans="1:19" s="71" customFormat="1" ht="54" x14ac:dyDescent="0.25">
      <c r="A42" s="63"/>
      <c r="B42" s="83">
        <v>8500</v>
      </c>
      <c r="C42" s="84"/>
      <c r="D42" s="66"/>
      <c r="E42" s="66"/>
      <c r="F42" s="66"/>
      <c r="G42" s="66"/>
      <c r="H42" s="67"/>
      <c r="I42" s="85">
        <v>950</v>
      </c>
      <c r="J42" s="86">
        <v>23359505</v>
      </c>
      <c r="K42" s="87"/>
      <c r="L42" s="56">
        <v>10489291</v>
      </c>
      <c r="M42" s="92" t="e">
        <f>VLOOKUP(L42,#REF!,2,0)</f>
        <v>#REF!</v>
      </c>
      <c r="N42" s="88" t="e">
        <f>VLOOKUP(L42,#REF!,3,0)</f>
        <v>#REF!</v>
      </c>
      <c r="O42" s="89" t="e">
        <f>VLOOKUP(L42,#REF!,4,0)</f>
        <v>#REF!</v>
      </c>
      <c r="P42" s="88" t="e">
        <f>VLOOKUP(L42,#REF!,5,0)</f>
        <v>#REF!</v>
      </c>
      <c r="Q42" s="90" t="s">
        <v>116</v>
      </c>
      <c r="S42" s="72" t="s">
        <v>117</v>
      </c>
    </row>
    <row r="43" spans="1:19" s="71" customFormat="1" ht="40.5" x14ac:dyDescent="0.25">
      <c r="A43" s="63"/>
      <c r="B43" s="83">
        <v>976500</v>
      </c>
      <c r="C43" s="84"/>
      <c r="D43" s="66"/>
      <c r="E43" s="66"/>
      <c r="F43" s="66"/>
      <c r="G43" s="66"/>
      <c r="H43" s="67"/>
      <c r="I43" s="85">
        <v>74</v>
      </c>
      <c r="J43" s="86">
        <v>23359505</v>
      </c>
      <c r="K43" s="87"/>
      <c r="L43" s="56">
        <v>29664872</v>
      </c>
      <c r="M43" s="92" t="e">
        <f>VLOOKUP(L43,#REF!,2,0)</f>
        <v>#REF!</v>
      </c>
      <c r="N43" s="88" t="e">
        <f>VLOOKUP(L43,#REF!,3,0)</f>
        <v>#REF!</v>
      </c>
      <c r="O43" s="89" t="e">
        <f>VLOOKUP(L43,#REF!,4,0)</f>
        <v>#REF!</v>
      </c>
      <c r="P43" s="88" t="e">
        <f>VLOOKUP(L43,#REF!,5,0)</f>
        <v>#REF!</v>
      </c>
      <c r="Q43" s="90" t="s">
        <v>132</v>
      </c>
      <c r="S43" s="72" t="s">
        <v>133</v>
      </c>
    </row>
    <row r="44" spans="1:19" s="71" customFormat="1" ht="54" x14ac:dyDescent="0.25">
      <c r="A44" s="63"/>
      <c r="B44" s="83">
        <f>58000+462000</f>
        <v>520000</v>
      </c>
      <c r="C44" s="84"/>
      <c r="D44" s="66"/>
      <c r="E44" s="66"/>
      <c r="F44" s="66"/>
      <c r="G44" s="66"/>
      <c r="H44" s="67"/>
      <c r="I44" s="85" t="s">
        <v>120</v>
      </c>
      <c r="J44" s="86">
        <v>23359505</v>
      </c>
      <c r="K44" s="87"/>
      <c r="L44" s="56">
        <v>1130608407</v>
      </c>
      <c r="M44" s="92" t="e">
        <f>VLOOKUP(L44,#REF!,2,0)</f>
        <v>#REF!</v>
      </c>
      <c r="N44" s="88" t="e">
        <f>VLOOKUP(L44,#REF!,3,0)</f>
        <v>#REF!</v>
      </c>
      <c r="O44" s="89" t="e">
        <f>VLOOKUP(L44,#REF!,4,0)</f>
        <v>#REF!</v>
      </c>
      <c r="P44" s="88" t="e">
        <f>VLOOKUP(L44,#REF!,5,0)</f>
        <v>#REF!</v>
      </c>
      <c r="Q44" s="90" t="s">
        <v>121</v>
      </c>
      <c r="S44" s="72" t="s">
        <v>134</v>
      </c>
    </row>
    <row r="45" spans="1:19" s="71" customFormat="1" ht="54" x14ac:dyDescent="0.25">
      <c r="A45" s="63"/>
      <c r="B45" s="83">
        <v>306900</v>
      </c>
      <c r="C45" s="84"/>
      <c r="D45" s="66"/>
      <c r="E45" s="66"/>
      <c r="F45" s="66"/>
      <c r="G45" s="66"/>
      <c r="H45" s="67"/>
      <c r="I45" s="91"/>
      <c r="J45" s="86">
        <v>23359505</v>
      </c>
      <c r="K45" s="87"/>
      <c r="L45" s="56">
        <v>1130636642</v>
      </c>
      <c r="M45" s="92" t="e">
        <f>VLOOKUP(L45,#REF!,2,0)</f>
        <v>#REF!</v>
      </c>
      <c r="N45" s="88" t="e">
        <f>VLOOKUP(L45,#REF!,3,0)</f>
        <v>#REF!</v>
      </c>
      <c r="O45" s="89" t="e">
        <f>VLOOKUP(L45,#REF!,4,0)</f>
        <v>#REF!</v>
      </c>
      <c r="P45" s="88" t="e">
        <f>VLOOKUP(L45,#REF!,5,0)</f>
        <v>#REF!</v>
      </c>
      <c r="Q45" s="90" t="s">
        <v>122</v>
      </c>
      <c r="S45" s="72" t="s">
        <v>135</v>
      </c>
    </row>
    <row r="46" spans="1:19" s="71" customFormat="1" ht="94.5" x14ac:dyDescent="0.25">
      <c r="A46" s="63"/>
      <c r="B46" s="83">
        <f>178200+80000</f>
        <v>258200</v>
      </c>
      <c r="C46" s="84"/>
      <c r="D46" s="66"/>
      <c r="E46" s="66"/>
      <c r="F46" s="66"/>
      <c r="G46" s="66"/>
      <c r="H46" s="67"/>
      <c r="I46" s="85"/>
      <c r="J46" s="86">
        <v>23359505</v>
      </c>
      <c r="K46" s="87"/>
      <c r="L46" s="56">
        <v>1061713437</v>
      </c>
      <c r="M46" s="92" t="e">
        <f>VLOOKUP(L46,#REF!,2,0)</f>
        <v>#REF!</v>
      </c>
      <c r="N46" s="88" t="e">
        <f>VLOOKUP(L46,#REF!,3,0)</f>
        <v>#REF!</v>
      </c>
      <c r="O46" s="89" t="e">
        <f>VLOOKUP(L46,#REF!,4,0)</f>
        <v>#REF!</v>
      </c>
      <c r="P46" s="88" t="e">
        <f>VLOOKUP(L46,#REF!,5,0)</f>
        <v>#REF!</v>
      </c>
      <c r="Q46" s="90" t="s">
        <v>127</v>
      </c>
      <c r="S46" s="72" t="s">
        <v>137</v>
      </c>
    </row>
    <row r="47" spans="1:19" s="71" customFormat="1" ht="81" x14ac:dyDescent="0.25">
      <c r="A47" s="63"/>
      <c r="B47" s="83">
        <v>415800</v>
      </c>
      <c r="C47" s="84"/>
      <c r="D47" s="66"/>
      <c r="E47" s="66"/>
      <c r="F47" s="66"/>
      <c r="G47" s="66"/>
      <c r="H47" s="67"/>
      <c r="I47" s="85"/>
      <c r="J47" s="86">
        <v>23359505</v>
      </c>
      <c r="K47" s="87"/>
      <c r="L47" s="56">
        <v>76311869</v>
      </c>
      <c r="M47" s="92" t="e">
        <f>VLOOKUP(L47,#REF!,2,0)</f>
        <v>#REF!</v>
      </c>
      <c r="N47" s="88" t="e">
        <f>VLOOKUP(L47,#REF!,3,0)</f>
        <v>#REF!</v>
      </c>
      <c r="O47" s="89" t="e">
        <f>VLOOKUP(L47,#REF!,4,0)</f>
        <v>#REF!</v>
      </c>
      <c r="P47" s="88" t="e">
        <f>VLOOKUP(L47,#REF!,5,0)</f>
        <v>#REF!</v>
      </c>
      <c r="Q47" s="90" t="s">
        <v>124</v>
      </c>
      <c r="S47" s="72" t="s">
        <v>138</v>
      </c>
    </row>
    <row r="48" spans="1:19" s="71" customFormat="1" ht="67.5" x14ac:dyDescent="0.25">
      <c r="A48" s="63"/>
      <c r="B48" s="83">
        <f>581715+381000</f>
        <v>962715</v>
      </c>
      <c r="C48" s="84"/>
      <c r="D48" s="66"/>
      <c r="E48" s="66"/>
      <c r="F48" s="66"/>
      <c r="G48" s="66"/>
      <c r="H48" s="67"/>
      <c r="I48" s="85" t="s">
        <v>125</v>
      </c>
      <c r="J48" s="86">
        <v>23359505</v>
      </c>
      <c r="K48" s="87"/>
      <c r="L48" s="56">
        <v>1118290706</v>
      </c>
      <c r="M48" s="92" t="e">
        <f>VLOOKUP(L48,#REF!,2,0)</f>
        <v>#REF!</v>
      </c>
      <c r="N48" s="88" t="e">
        <f>VLOOKUP(L48,#REF!,3,0)</f>
        <v>#REF!</v>
      </c>
      <c r="O48" s="89" t="e">
        <f>VLOOKUP(L48,#REF!,4,0)</f>
        <v>#REF!</v>
      </c>
      <c r="P48" s="88" t="e">
        <f>VLOOKUP(L48,#REF!,5,0)</f>
        <v>#REF!</v>
      </c>
      <c r="Q48" s="90" t="s">
        <v>126</v>
      </c>
      <c r="S48" s="72" t="s">
        <v>139</v>
      </c>
    </row>
    <row r="49" spans="1:20" s="71" customFormat="1" ht="27" x14ac:dyDescent="0.25">
      <c r="A49" s="63"/>
      <c r="B49" s="83">
        <v>225000</v>
      </c>
      <c r="C49" s="84"/>
      <c r="D49" s="66"/>
      <c r="E49" s="66"/>
      <c r="F49" s="66"/>
      <c r="G49" s="66"/>
      <c r="H49" s="67"/>
      <c r="I49" s="85"/>
      <c r="J49" s="86">
        <v>23359505</v>
      </c>
      <c r="K49" s="87"/>
      <c r="L49" s="56">
        <v>94508558</v>
      </c>
      <c r="M49" s="92" t="e">
        <f>VLOOKUP(L49,#REF!,2,0)</f>
        <v>#REF!</v>
      </c>
      <c r="N49" s="88" t="e">
        <f>VLOOKUP(L49,#REF!,3,0)</f>
        <v>#REF!</v>
      </c>
      <c r="O49" s="89" t="e">
        <f>VLOOKUP(L49,#REF!,4,0)</f>
        <v>#REF!</v>
      </c>
      <c r="P49" s="88" t="e">
        <f>VLOOKUP(L49,#REF!,5,0)</f>
        <v>#REF!</v>
      </c>
      <c r="Q49" s="90" t="s">
        <v>129</v>
      </c>
      <c r="S49" s="72" t="s">
        <v>140</v>
      </c>
    </row>
    <row r="50" spans="1:20" s="71" customFormat="1" ht="40.5" x14ac:dyDescent="0.25">
      <c r="A50" s="63"/>
      <c r="B50" s="83">
        <f>376000+451200</f>
        <v>827200</v>
      </c>
      <c r="C50" s="84"/>
      <c r="D50" s="66"/>
      <c r="E50" s="66"/>
      <c r="F50" s="66"/>
      <c r="G50" s="66"/>
      <c r="H50" s="67"/>
      <c r="I50" s="85"/>
      <c r="J50" s="86">
        <v>23359505</v>
      </c>
      <c r="K50" s="87"/>
      <c r="L50" s="56">
        <v>1059990791</v>
      </c>
      <c r="M50" s="92" t="e">
        <f>VLOOKUP(L50,#REF!,2,0)</f>
        <v>#REF!</v>
      </c>
      <c r="N50" s="88" t="e">
        <f>VLOOKUP(L50,#REF!,3,0)</f>
        <v>#REF!</v>
      </c>
      <c r="O50" s="89" t="e">
        <f>VLOOKUP(L50,#REF!,4,0)</f>
        <v>#REF!</v>
      </c>
      <c r="P50" s="88" t="e">
        <f>VLOOKUP(L50,#REF!,5,0)</f>
        <v>#REF!</v>
      </c>
      <c r="Q50" s="90" t="s">
        <v>130</v>
      </c>
      <c r="S50" s="72" t="s">
        <v>141</v>
      </c>
    </row>
    <row r="51" spans="1:20" s="71" customFormat="1" ht="40.5" x14ac:dyDescent="0.25">
      <c r="A51" s="63"/>
      <c r="B51" s="83">
        <f>3330000+2932584</f>
        <v>6262584</v>
      </c>
      <c r="C51" s="84"/>
      <c r="D51" s="66"/>
      <c r="E51" s="66"/>
      <c r="F51" s="66"/>
      <c r="G51" s="66"/>
      <c r="H51" s="67"/>
      <c r="I51" s="85"/>
      <c r="J51" s="86">
        <v>23359505</v>
      </c>
      <c r="K51" s="87"/>
      <c r="L51" s="56">
        <v>16502194</v>
      </c>
      <c r="M51" s="92" t="e">
        <f>VLOOKUP(L51,#REF!,2,0)</f>
        <v>#REF!</v>
      </c>
      <c r="N51" s="88" t="e">
        <f>VLOOKUP(L51,#REF!,3,0)</f>
        <v>#REF!</v>
      </c>
      <c r="O51" s="89" t="e">
        <f>VLOOKUP(L51,#REF!,4,0)</f>
        <v>#REF!</v>
      </c>
      <c r="P51" s="88" t="e">
        <f>VLOOKUP(L51,#REF!,5,0)</f>
        <v>#REF!</v>
      </c>
      <c r="Q51" s="90" t="s">
        <v>142</v>
      </c>
      <c r="S51" s="72" t="s">
        <v>143</v>
      </c>
    </row>
    <row r="52" spans="1:20" s="71" customFormat="1" ht="27" x14ac:dyDescent="0.25">
      <c r="A52" s="63"/>
      <c r="B52" s="83">
        <v>1152000</v>
      </c>
      <c r="C52" s="84"/>
      <c r="D52" s="66"/>
      <c r="E52" s="66"/>
      <c r="F52" s="66"/>
      <c r="G52" s="66"/>
      <c r="H52" s="67"/>
      <c r="I52" s="85"/>
      <c r="J52" s="86">
        <v>23359505</v>
      </c>
      <c r="K52" s="87"/>
      <c r="L52" s="56">
        <v>10291765</v>
      </c>
      <c r="M52" s="92" t="e">
        <f>VLOOKUP(L52,#REF!,2,0)</f>
        <v>#REF!</v>
      </c>
      <c r="N52" s="88" t="e">
        <f>VLOOKUP(L52,#REF!,3,0)</f>
        <v>#REF!</v>
      </c>
      <c r="O52" s="89" t="e">
        <f>VLOOKUP(L52,#REF!,4,0)</f>
        <v>#REF!</v>
      </c>
      <c r="P52" s="88" t="e">
        <f>VLOOKUP(L52,#REF!,5,0)</f>
        <v>#REF!</v>
      </c>
      <c r="Q52" s="90" t="s">
        <v>153</v>
      </c>
      <c r="S52" s="72" t="s">
        <v>152</v>
      </c>
    </row>
    <row r="53" spans="1:20" s="71" customFormat="1" ht="68" thickBot="1" x14ac:dyDescent="0.3">
      <c r="A53" s="63"/>
      <c r="B53" s="83">
        <v>2895000</v>
      </c>
      <c r="C53" s="84"/>
      <c r="D53" s="66"/>
      <c r="E53" s="66"/>
      <c r="F53" s="66"/>
      <c r="G53" s="66"/>
      <c r="H53" s="67"/>
      <c r="I53" s="85"/>
      <c r="J53" s="86">
        <v>23359505</v>
      </c>
      <c r="K53" s="87"/>
      <c r="L53" s="56">
        <v>1144080088</v>
      </c>
      <c r="M53" s="92" t="e">
        <f>VLOOKUP(L53,#REF!,2,0)</f>
        <v>#REF!</v>
      </c>
      <c r="N53" s="88" t="e">
        <f>VLOOKUP(L53,#REF!,3,0)</f>
        <v>#REF!</v>
      </c>
      <c r="O53" s="89" t="e">
        <f>VLOOKUP(L53,#REF!,4,0)</f>
        <v>#REF!</v>
      </c>
      <c r="P53" s="88" t="e">
        <f>VLOOKUP(L53,#REF!,5,0)</f>
        <v>#REF!</v>
      </c>
      <c r="Q53" s="90" t="s">
        <v>155</v>
      </c>
      <c r="S53" s="72" t="s">
        <v>154</v>
      </c>
    </row>
    <row r="54" spans="1:20" ht="47.25" customHeight="1" thickBot="1" x14ac:dyDescent="0.35">
      <c r="B54" s="55">
        <f>SUM(B7:B53)</f>
        <v>141546385</v>
      </c>
      <c r="M54" s="60"/>
    </row>
    <row r="55" spans="1:20" ht="47.25" customHeight="1" x14ac:dyDescent="0.25">
      <c r="A55" s="1"/>
      <c r="B55" s="1"/>
      <c r="C55" s="1"/>
      <c r="D55" s="1"/>
      <c r="E55" s="1"/>
      <c r="F55" s="1"/>
      <c r="G55" s="1"/>
      <c r="H55" s="3"/>
      <c r="I55" s="59"/>
      <c r="J55" s="1"/>
      <c r="K55" s="4"/>
      <c r="L55" s="6"/>
      <c r="M55" s="5"/>
      <c r="N55" s="1"/>
      <c r="O55" s="1"/>
      <c r="P55" s="1"/>
      <c r="Q55" s="1"/>
    </row>
    <row r="56" spans="1:20" ht="14" x14ac:dyDescent="0.3">
      <c r="A56" s="1"/>
      <c r="B56" s="62"/>
      <c r="C56" s="1"/>
      <c r="D56" s="1"/>
      <c r="E56" s="1"/>
      <c r="F56" s="1"/>
      <c r="G56" s="1"/>
      <c r="H56" s="3"/>
      <c r="I56" s="59"/>
      <c r="J56" s="1"/>
      <c r="K56" s="4"/>
      <c r="L56" s="6"/>
      <c r="M56" s="5"/>
      <c r="N56" s="1"/>
      <c r="O56" s="1"/>
      <c r="P56" s="1"/>
      <c r="Q56" s="1"/>
      <c r="S56" s="20"/>
    </row>
    <row r="57" spans="1:20" s="9" customFormat="1" ht="15" customHeight="1" x14ac:dyDescent="0.35">
      <c r="A57" s="201" t="s">
        <v>29</v>
      </c>
      <c r="B57" s="201"/>
      <c r="C57" s="201"/>
      <c r="D57" s="201"/>
      <c r="E57" s="201"/>
      <c r="F57" s="201"/>
      <c r="G57" s="201"/>
      <c r="H57" s="201"/>
      <c r="I57" s="201"/>
      <c r="J57" s="201"/>
      <c r="L57" s="31"/>
      <c r="M57" s="202" t="s">
        <v>30</v>
      </c>
      <c r="N57" s="202"/>
      <c r="O57" s="202"/>
      <c r="P57" s="24"/>
      <c r="Q57" s="25"/>
      <c r="R57" s="8"/>
      <c r="S57" s="20"/>
      <c r="T57" s="20"/>
    </row>
    <row r="58" spans="1:20" s="9" customFormat="1" ht="15" customHeight="1" x14ac:dyDescent="0.35">
      <c r="A58" s="32"/>
      <c r="B58" s="32"/>
      <c r="C58" s="32"/>
      <c r="D58" s="32"/>
      <c r="E58" s="32"/>
      <c r="F58" s="32"/>
      <c r="G58" s="32"/>
      <c r="H58" s="32"/>
      <c r="I58" s="32"/>
      <c r="J58" s="32"/>
      <c r="L58" s="31"/>
      <c r="M58" s="33"/>
      <c r="N58" s="33"/>
      <c r="O58" s="33"/>
      <c r="P58" s="24"/>
      <c r="Q58" s="25"/>
      <c r="R58" s="8"/>
      <c r="S58" s="20"/>
      <c r="T58" s="20"/>
    </row>
    <row r="59" spans="1:20" s="9" customFormat="1" ht="15" customHeight="1" x14ac:dyDescent="0.35">
      <c r="A59" s="32"/>
      <c r="B59" s="32"/>
      <c r="C59" s="32"/>
      <c r="D59" s="32"/>
      <c r="E59" s="32"/>
      <c r="F59" s="32"/>
      <c r="G59" s="32"/>
      <c r="H59" s="32"/>
      <c r="I59" s="32"/>
      <c r="J59" s="32"/>
      <c r="L59" s="31"/>
      <c r="M59" s="33"/>
      <c r="N59" s="33"/>
      <c r="O59" s="33"/>
      <c r="P59" s="24"/>
      <c r="Q59" s="25"/>
      <c r="R59" s="8"/>
      <c r="S59" s="20"/>
      <c r="T59" s="20"/>
    </row>
    <row r="60" spans="1:20" s="9" customFormat="1" ht="15" customHeight="1" x14ac:dyDescent="0.35">
      <c r="A60" s="32"/>
      <c r="B60" s="32"/>
      <c r="C60" s="32"/>
      <c r="D60" s="32"/>
      <c r="E60" s="32"/>
      <c r="F60" s="32"/>
      <c r="G60" s="32"/>
      <c r="H60" s="32"/>
      <c r="I60" s="32"/>
      <c r="J60" s="32"/>
      <c r="L60" s="31"/>
      <c r="M60" s="33"/>
      <c r="N60" s="33"/>
      <c r="O60" s="33"/>
      <c r="P60" s="24"/>
      <c r="Q60" s="25"/>
      <c r="R60" s="8"/>
      <c r="S60" s="20"/>
      <c r="T60" s="20"/>
    </row>
    <row r="61" spans="1:20" s="9" customFormat="1" ht="15.5" x14ac:dyDescent="0.35">
      <c r="A61" s="201" t="s">
        <v>31</v>
      </c>
      <c r="B61" s="201"/>
      <c r="C61" s="201"/>
      <c r="D61" s="201"/>
      <c r="E61" s="201"/>
      <c r="F61" s="201"/>
      <c r="G61" s="201"/>
      <c r="H61" s="201"/>
      <c r="I61" s="201"/>
      <c r="J61" s="201"/>
      <c r="M61" s="201" t="s">
        <v>31</v>
      </c>
      <c r="N61" s="201"/>
      <c r="O61" s="201"/>
      <c r="P61" s="201"/>
      <c r="Q61" s="26"/>
      <c r="R61" s="26"/>
      <c r="S61" s="30"/>
      <c r="T61" s="20"/>
    </row>
    <row r="62" spans="1:20" s="27" customFormat="1" ht="15.5" x14ac:dyDescent="0.35">
      <c r="A62" s="187" t="s">
        <v>32</v>
      </c>
      <c r="B62" s="187"/>
      <c r="C62" s="187"/>
      <c r="D62" s="187"/>
      <c r="E62" s="187"/>
      <c r="F62" s="187"/>
      <c r="G62" s="187"/>
      <c r="H62" s="187"/>
      <c r="I62" s="187"/>
      <c r="J62" s="187"/>
      <c r="N62" s="61" t="s">
        <v>32</v>
      </c>
      <c r="Q62" s="28"/>
      <c r="R62" s="29"/>
      <c r="S62" s="12"/>
      <c r="T62" s="30"/>
    </row>
    <row r="63" spans="1:20" x14ac:dyDescent="0.25">
      <c r="A63" s="1"/>
      <c r="B63" s="1"/>
      <c r="C63" s="1"/>
      <c r="D63" s="1"/>
      <c r="E63" s="1"/>
      <c r="F63" s="1"/>
      <c r="G63" s="1"/>
      <c r="H63" s="3"/>
      <c r="I63" s="59"/>
      <c r="J63" s="1"/>
      <c r="K63" s="4"/>
      <c r="L63" s="6"/>
      <c r="M63" s="5"/>
      <c r="N63" s="1"/>
      <c r="O63" s="1"/>
      <c r="P63" s="1"/>
      <c r="Q63" s="1"/>
    </row>
    <row r="64" spans="1:20" x14ac:dyDescent="0.25">
      <c r="A64" s="1"/>
      <c r="B64" s="1"/>
      <c r="C64" s="1"/>
      <c r="D64" s="1"/>
      <c r="E64" s="1"/>
      <c r="F64" s="1"/>
      <c r="G64" s="1"/>
      <c r="H64" s="3"/>
      <c r="I64" s="59"/>
      <c r="J64" s="1"/>
      <c r="K64" s="4"/>
      <c r="L64" s="6"/>
      <c r="M64" s="5"/>
      <c r="N64" s="1"/>
      <c r="O64" s="1"/>
      <c r="P64" s="1"/>
      <c r="Q64" s="1"/>
    </row>
  </sheetData>
  <mergeCells count="13">
    <mergeCell ref="A62:J62"/>
    <mergeCell ref="A1:C3"/>
    <mergeCell ref="D1:O1"/>
    <mergeCell ref="Q1:Q3"/>
    <mergeCell ref="D2:O3"/>
    <mergeCell ref="A5:B5"/>
    <mergeCell ref="C5:I5"/>
    <mergeCell ref="J5:K5"/>
    <mergeCell ref="O5:P5"/>
    <mergeCell ref="A57:J57"/>
    <mergeCell ref="M57:O57"/>
    <mergeCell ref="A61:J61"/>
    <mergeCell ref="M61:P61"/>
  </mergeCells>
  <phoneticPr fontId="10" type="noConversion"/>
  <printOptions horizontalCentered="1" verticalCentered="1"/>
  <pageMargins left="0.70866141732283472" right="0.70866141732283472" top="0.74803149606299213" bottom="0.35433070866141736" header="0.31496062992125984" footer="0.31496062992125984"/>
  <pageSetup scale="52" fitToHeight="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030" r:id="rId4" name="Check Box 6">
              <controlPr defaultSize="0" autoFill="0" autoLine="0" autoPict="0">
                <anchor moveWithCells="1">
                  <from>
                    <xdr:col>11</xdr:col>
                    <xdr:colOff>1104900</xdr:colOff>
                    <xdr:row>4</xdr:row>
                    <xdr:rowOff>19050</xdr:rowOff>
                  </from>
                  <to>
                    <xdr:col>12</xdr:col>
                    <xdr:colOff>419100</xdr:colOff>
                    <xdr:row>5</xdr:row>
                    <xdr:rowOff>0</xdr:rowOff>
                  </to>
                </anchor>
              </controlPr>
            </control>
          </mc:Choice>
        </mc:AlternateContent>
        <mc:AlternateContent xmlns:mc="http://schemas.openxmlformats.org/markup-compatibility/2006">
          <mc:Choice Requires="x14">
            <control shapeId="1031" r:id="rId5" name="Check Box 7">
              <controlPr defaultSize="0" autoFill="0" autoLine="0" autoPict="0">
                <anchor moveWithCells="1">
                  <from>
                    <xdr:col>12</xdr:col>
                    <xdr:colOff>1041400</xdr:colOff>
                    <xdr:row>3</xdr:row>
                    <xdr:rowOff>57150</xdr:rowOff>
                  </from>
                  <to>
                    <xdr:col>12</xdr:col>
                    <xdr:colOff>1460500</xdr:colOff>
                    <xdr:row>5</xdr:row>
                    <xdr:rowOff>0</xdr:rowOff>
                  </to>
                </anchor>
              </controlPr>
            </control>
          </mc:Choice>
        </mc:AlternateContent>
        <mc:AlternateContent xmlns:mc="http://schemas.openxmlformats.org/markup-compatibility/2006">
          <mc:Choice Requires="x14">
            <control shapeId="1032" r:id="rId6" name="Check Box 8">
              <controlPr defaultSize="0" autoFill="0" autoLine="0" autoPict="0">
                <anchor moveWithCells="1">
                  <from>
                    <xdr:col>13</xdr:col>
                    <xdr:colOff>1174750</xdr:colOff>
                    <xdr:row>3</xdr:row>
                    <xdr:rowOff>57150</xdr:rowOff>
                  </from>
                  <to>
                    <xdr:col>14</xdr:col>
                    <xdr:colOff>203200</xdr:colOff>
                    <xdr:row>5</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A01CB-A80B-4542-ABE5-0F37E3013AEF}">
  <sheetPr>
    <pageSetUpPr fitToPage="1"/>
  </sheetPr>
  <dimension ref="A1:K81"/>
  <sheetViews>
    <sheetView showGridLines="0" tabSelected="1" zoomScale="80" zoomScaleNormal="80" workbookViewId="0">
      <selection activeCell="K8" sqref="K8"/>
    </sheetView>
  </sheetViews>
  <sheetFormatPr baseColWidth="10" defaultRowHeight="14.5" x14ac:dyDescent="0.35"/>
  <cols>
    <col min="2" max="2" width="23.1796875" style="150" customWidth="1"/>
    <col min="3" max="3" width="25.453125" style="146" customWidth="1"/>
    <col min="4" max="4" width="23.81640625" customWidth="1"/>
    <col min="5" max="5" width="25.7265625" style="146" customWidth="1"/>
    <col min="6" max="6" width="34.81640625" style="146" bestFit="1" customWidth="1"/>
    <col min="7" max="8" width="10.453125" customWidth="1"/>
    <col min="9" max="9" width="11" customWidth="1"/>
    <col min="10" max="10" width="64" customWidth="1"/>
    <col min="11" max="11" width="14.54296875" customWidth="1"/>
  </cols>
  <sheetData>
    <row r="1" spans="1:11" ht="18.75" customHeight="1" x14ac:dyDescent="0.35">
      <c r="A1" s="165"/>
      <c r="B1" s="166"/>
      <c r="C1" s="170" t="s">
        <v>262</v>
      </c>
      <c r="D1" s="171"/>
      <c r="E1" s="171"/>
      <c r="F1" s="171"/>
      <c r="G1" s="171"/>
      <c r="H1" s="172"/>
      <c r="I1" s="139" t="s">
        <v>24</v>
      </c>
      <c r="J1" s="165"/>
      <c r="K1" s="173"/>
    </row>
    <row r="2" spans="1:11" ht="18.75" customHeight="1" x14ac:dyDescent="0.35">
      <c r="A2" s="167"/>
      <c r="B2" s="163"/>
      <c r="C2" s="176" t="s">
        <v>270</v>
      </c>
      <c r="D2" s="177"/>
      <c r="E2" s="177"/>
      <c r="F2" s="177"/>
      <c r="G2" s="177"/>
      <c r="H2" s="178"/>
      <c r="I2" s="10" t="s">
        <v>263</v>
      </c>
      <c r="J2" s="167"/>
      <c r="K2" s="174"/>
    </row>
    <row r="3" spans="1:11" ht="33" customHeight="1" x14ac:dyDescent="0.35">
      <c r="A3" s="168"/>
      <c r="B3" s="169"/>
      <c r="C3" s="179"/>
      <c r="D3" s="180"/>
      <c r="E3" s="180"/>
      <c r="F3" s="180"/>
      <c r="G3" s="180"/>
      <c r="H3" s="181"/>
      <c r="I3" s="10" t="s">
        <v>264</v>
      </c>
      <c r="J3" s="168"/>
      <c r="K3" s="175"/>
    </row>
    <row r="4" spans="1:11" ht="18.75" customHeight="1" thickBot="1" x14ac:dyDescent="0.4"/>
    <row r="5" spans="1:11" ht="19.5" customHeight="1" thickBot="1" x14ac:dyDescent="0.4">
      <c r="A5" s="182" t="s">
        <v>1</v>
      </c>
      <c r="B5" s="182"/>
      <c r="C5" s="184" t="s">
        <v>271</v>
      </c>
      <c r="D5" s="185"/>
      <c r="E5" s="186"/>
      <c r="F5" s="148" t="s">
        <v>2</v>
      </c>
      <c r="G5" s="183" t="s">
        <v>3</v>
      </c>
      <c r="H5" s="183"/>
      <c r="I5" s="183"/>
    </row>
    <row r="6" spans="1:11" ht="16.5" customHeight="1" thickBot="1" x14ac:dyDescent="0.4"/>
    <row r="7" spans="1:11" ht="48.75" customHeight="1" thickBot="1" x14ac:dyDescent="0.4">
      <c r="A7" s="155" t="s">
        <v>6</v>
      </c>
      <c r="B7" s="156" t="s">
        <v>7</v>
      </c>
      <c r="C7" s="157" t="s">
        <v>14</v>
      </c>
      <c r="D7" s="157" t="s">
        <v>265</v>
      </c>
      <c r="E7" s="157" t="s">
        <v>18</v>
      </c>
      <c r="F7" s="157" t="s">
        <v>266</v>
      </c>
      <c r="G7" s="158" t="s">
        <v>19</v>
      </c>
      <c r="H7" s="157" t="s">
        <v>20</v>
      </c>
      <c r="I7" s="158" t="s">
        <v>21</v>
      </c>
      <c r="J7" s="158" t="s">
        <v>22</v>
      </c>
      <c r="K7" s="159" t="s">
        <v>267</v>
      </c>
    </row>
    <row r="8" spans="1:11" ht="66" customHeight="1" x14ac:dyDescent="0.35">
      <c r="A8" s="213">
        <f>info!A2</f>
        <v>0</v>
      </c>
      <c r="B8" s="217">
        <f>info!B2</f>
        <v>0</v>
      </c>
      <c r="C8" s="219">
        <f>info!C2</f>
        <v>0</v>
      </c>
      <c r="D8" s="215">
        <f>info!D2</f>
        <v>0</v>
      </c>
      <c r="E8" s="215">
        <f>info!E2</f>
        <v>0</v>
      </c>
      <c r="F8" s="215">
        <f>info!F2</f>
        <v>0</v>
      </c>
      <c r="G8" s="216"/>
      <c r="H8" s="216"/>
      <c r="I8" s="216"/>
      <c r="J8" s="215">
        <f>info!J2</f>
        <v>0</v>
      </c>
      <c r="K8" s="216">
        <f>info!K2</f>
        <v>0</v>
      </c>
    </row>
    <row r="9" spans="1:11" ht="52.5" x14ac:dyDescent="0.35">
      <c r="A9" s="213">
        <f>info!A3</f>
        <v>0</v>
      </c>
      <c r="B9" s="217">
        <f>info!B3</f>
        <v>0</v>
      </c>
      <c r="C9" s="219">
        <f>info!C3</f>
        <v>0</v>
      </c>
      <c r="D9" s="215">
        <f>info!D3</f>
        <v>0</v>
      </c>
      <c r="E9" s="215">
        <f>info!E3</f>
        <v>0</v>
      </c>
      <c r="F9" s="215">
        <f>info!F3</f>
        <v>0</v>
      </c>
      <c r="G9" s="216"/>
      <c r="H9" s="216"/>
      <c r="I9" s="216"/>
      <c r="J9" s="215">
        <f>info!J3</f>
        <v>0</v>
      </c>
      <c r="K9" s="216">
        <f>info!K3</f>
        <v>0</v>
      </c>
    </row>
    <row r="10" spans="1:11" ht="52.5" x14ac:dyDescent="0.35">
      <c r="A10" s="213">
        <f>info!A4</f>
        <v>0</v>
      </c>
      <c r="B10" s="217">
        <f>info!B4</f>
        <v>0</v>
      </c>
      <c r="C10" s="219">
        <f>info!C4</f>
        <v>0</v>
      </c>
      <c r="D10" s="215">
        <f>info!D4</f>
        <v>0</v>
      </c>
      <c r="E10" s="215">
        <f>info!E4</f>
        <v>0</v>
      </c>
      <c r="F10" s="215">
        <f>info!F4</f>
        <v>0</v>
      </c>
      <c r="G10" s="216"/>
      <c r="H10" s="216"/>
      <c r="I10" s="216"/>
      <c r="J10" s="215">
        <f>info!J4</f>
        <v>0</v>
      </c>
      <c r="K10" s="216">
        <f>info!K4</f>
        <v>0</v>
      </c>
    </row>
    <row r="11" spans="1:11" ht="39.5" customHeight="1" x14ac:dyDescent="0.35">
      <c r="A11" s="213">
        <f>info!A5</f>
        <v>0</v>
      </c>
      <c r="B11" s="217">
        <f>info!B5</f>
        <v>0</v>
      </c>
      <c r="C11" s="219">
        <f>info!C5</f>
        <v>0</v>
      </c>
      <c r="D11" s="215">
        <f>info!D5</f>
        <v>0</v>
      </c>
      <c r="E11" s="215">
        <f>info!E5</f>
        <v>0</v>
      </c>
      <c r="F11" s="215">
        <f>info!F5</f>
        <v>0</v>
      </c>
      <c r="G11" s="216"/>
      <c r="H11" s="216"/>
      <c r="I11" s="216"/>
      <c r="J11" s="215">
        <f>info!J5</f>
        <v>0</v>
      </c>
      <c r="K11" s="216">
        <f>info!K5</f>
        <v>0</v>
      </c>
    </row>
    <row r="12" spans="1:11" ht="34.5" customHeight="1" x14ac:dyDescent="0.35">
      <c r="A12" s="213">
        <f>info!A6</f>
        <v>0</v>
      </c>
      <c r="B12" s="217">
        <f>info!B6</f>
        <v>0</v>
      </c>
      <c r="C12" s="219">
        <f>info!C6</f>
        <v>0</v>
      </c>
      <c r="D12" s="215">
        <f>info!D6</f>
        <v>0</v>
      </c>
      <c r="E12" s="215">
        <f>info!E6</f>
        <v>0</v>
      </c>
      <c r="F12" s="215">
        <f>info!F6</f>
        <v>0</v>
      </c>
      <c r="G12" s="216"/>
      <c r="H12" s="216"/>
      <c r="I12" s="216"/>
      <c r="J12" s="215">
        <f>info!J6</f>
        <v>0</v>
      </c>
      <c r="K12" s="216">
        <f>info!K6</f>
        <v>0</v>
      </c>
    </row>
    <row r="13" spans="1:11" ht="31.5" customHeight="1" x14ac:dyDescent="0.35">
      <c r="A13" s="213">
        <f>info!A7</f>
        <v>0</v>
      </c>
      <c r="B13" s="217">
        <f>info!B7</f>
        <v>0</v>
      </c>
      <c r="C13" s="219">
        <f>info!C7</f>
        <v>0</v>
      </c>
      <c r="D13" s="215">
        <f>info!D7</f>
        <v>0</v>
      </c>
      <c r="E13" s="215">
        <f>info!E7</f>
        <v>0</v>
      </c>
      <c r="F13" s="215">
        <f>info!F7</f>
        <v>0</v>
      </c>
      <c r="G13" s="216"/>
      <c r="H13" s="216"/>
      <c r="I13" s="216"/>
      <c r="J13" s="215">
        <f>info!J7</f>
        <v>0</v>
      </c>
      <c r="K13" s="216">
        <f>info!K7</f>
        <v>0</v>
      </c>
    </row>
    <row r="14" spans="1:11" ht="34.5" customHeight="1" x14ac:dyDescent="0.35">
      <c r="A14" s="213">
        <f>info!A8</f>
        <v>0</v>
      </c>
      <c r="B14" s="217">
        <f>info!B8</f>
        <v>0</v>
      </c>
      <c r="C14" s="219">
        <f>info!C8</f>
        <v>0</v>
      </c>
      <c r="D14" s="215">
        <f>info!D8</f>
        <v>0</v>
      </c>
      <c r="E14" s="215">
        <f>info!E8</f>
        <v>0</v>
      </c>
      <c r="F14" s="215">
        <f>info!F8</f>
        <v>0</v>
      </c>
      <c r="G14" s="216"/>
      <c r="H14" s="216"/>
      <c r="I14" s="216"/>
      <c r="J14" s="215">
        <f>info!J8</f>
        <v>0</v>
      </c>
      <c r="K14" s="216">
        <f>info!K8</f>
        <v>0</v>
      </c>
    </row>
    <row r="15" spans="1:11" ht="37.5" customHeight="1" x14ac:dyDescent="0.35">
      <c r="A15" s="213">
        <f>info!A9</f>
        <v>0</v>
      </c>
      <c r="B15" s="217">
        <f>info!B9</f>
        <v>0</v>
      </c>
      <c r="C15" s="219">
        <f>info!C9</f>
        <v>0</v>
      </c>
      <c r="D15" s="215">
        <f>info!D9</f>
        <v>0</v>
      </c>
      <c r="E15" s="215">
        <f>info!E9</f>
        <v>0</v>
      </c>
      <c r="F15" s="215">
        <f>info!F9</f>
        <v>0</v>
      </c>
      <c r="G15" s="216"/>
      <c r="H15" s="216"/>
      <c r="I15" s="216"/>
      <c r="J15" s="215">
        <f>info!J9</f>
        <v>0</v>
      </c>
      <c r="K15" s="216">
        <f>info!K9</f>
        <v>0</v>
      </c>
    </row>
    <row r="16" spans="1:11" ht="36" customHeight="1" x14ac:dyDescent="0.35">
      <c r="A16" s="213">
        <f>info!A10</f>
        <v>0</v>
      </c>
      <c r="B16" s="217">
        <f>info!B10</f>
        <v>0</v>
      </c>
      <c r="C16" s="219">
        <f>info!C10</f>
        <v>0</v>
      </c>
      <c r="D16" s="215">
        <f>info!D10</f>
        <v>0</v>
      </c>
      <c r="E16" s="215">
        <f>info!E10</f>
        <v>0</v>
      </c>
      <c r="F16" s="215">
        <f>info!F10</f>
        <v>0</v>
      </c>
      <c r="G16" s="216"/>
      <c r="H16" s="216"/>
      <c r="I16" s="216"/>
      <c r="J16" s="215">
        <f>info!J10</f>
        <v>0</v>
      </c>
      <c r="K16" s="216">
        <f>info!K10</f>
        <v>0</v>
      </c>
    </row>
    <row r="17" spans="1:11" ht="34.5" customHeight="1" x14ac:dyDescent="0.35">
      <c r="A17" s="213">
        <f>info!A11</f>
        <v>0</v>
      </c>
      <c r="B17" s="217">
        <f>info!B11</f>
        <v>0</v>
      </c>
      <c r="C17" s="219">
        <f>info!C11</f>
        <v>0</v>
      </c>
      <c r="D17" s="215">
        <f>info!D11</f>
        <v>0</v>
      </c>
      <c r="E17" s="215">
        <f>info!E11</f>
        <v>0</v>
      </c>
      <c r="F17" s="215">
        <f>info!F11</f>
        <v>0</v>
      </c>
      <c r="G17" s="216"/>
      <c r="H17" s="216"/>
      <c r="I17" s="216"/>
      <c r="J17" s="215">
        <f>info!J11</f>
        <v>0</v>
      </c>
      <c r="K17" s="216">
        <f>info!K11</f>
        <v>0</v>
      </c>
    </row>
    <row r="18" spans="1:11" ht="1" customHeight="1" x14ac:dyDescent="0.35">
      <c r="A18" s="154">
        <v>11</v>
      </c>
      <c r="B18" s="217">
        <f>info!B12</f>
        <v>0</v>
      </c>
      <c r="C18" s="214">
        <f>info!C12</f>
        <v>0</v>
      </c>
      <c r="D18" s="215">
        <f>info!D12</f>
        <v>0</v>
      </c>
      <c r="E18" s="215">
        <f>info!E12</f>
        <v>0</v>
      </c>
      <c r="F18" s="215">
        <f>info!F12</f>
        <v>0</v>
      </c>
      <c r="G18" s="216"/>
      <c r="H18" s="216"/>
      <c r="I18" s="216"/>
      <c r="J18" s="215">
        <f>info!J12</f>
        <v>0</v>
      </c>
      <c r="K18" s="216">
        <f>info!K12</f>
        <v>0</v>
      </c>
    </row>
    <row r="19" spans="1:11" ht="79.5" hidden="1" customHeight="1" x14ac:dyDescent="0.35">
      <c r="A19" s="154">
        <v>12</v>
      </c>
      <c r="B19" s="217">
        <f>info!B13</f>
        <v>0</v>
      </c>
      <c r="C19" s="214">
        <f>info!C13</f>
        <v>0</v>
      </c>
      <c r="D19" s="215">
        <f>info!D13</f>
        <v>0</v>
      </c>
      <c r="E19" s="215">
        <f>info!E13</f>
        <v>0</v>
      </c>
      <c r="F19" s="215">
        <f>info!F13</f>
        <v>0</v>
      </c>
      <c r="G19" s="216"/>
      <c r="H19" s="216"/>
      <c r="I19" s="216"/>
      <c r="J19" s="215">
        <f>info!J13</f>
        <v>0</v>
      </c>
      <c r="K19" s="216">
        <f>info!K13</f>
        <v>0</v>
      </c>
    </row>
    <row r="20" spans="1:11" ht="79.5" hidden="1" customHeight="1" x14ac:dyDescent="0.35">
      <c r="A20" s="154">
        <v>13</v>
      </c>
      <c r="B20" s="217">
        <f>info!B14</f>
        <v>0</v>
      </c>
      <c r="C20" s="214">
        <f>info!C14</f>
        <v>0</v>
      </c>
      <c r="D20" s="215">
        <f>info!D14</f>
        <v>0</v>
      </c>
      <c r="E20" s="215">
        <f>info!E14</f>
        <v>0</v>
      </c>
      <c r="F20" s="215">
        <f>info!F14</f>
        <v>0</v>
      </c>
      <c r="G20" s="216"/>
      <c r="H20" s="216"/>
      <c r="I20" s="216"/>
      <c r="J20" s="215">
        <f>info!J14</f>
        <v>0</v>
      </c>
      <c r="K20" s="216">
        <f>info!K14</f>
        <v>0</v>
      </c>
    </row>
    <row r="21" spans="1:11" ht="79.5" hidden="1" customHeight="1" x14ac:dyDescent="0.35">
      <c r="A21" s="154">
        <v>14</v>
      </c>
      <c r="B21" s="217">
        <f>info!B15</f>
        <v>0</v>
      </c>
      <c r="C21" s="214">
        <f>info!C15</f>
        <v>0</v>
      </c>
      <c r="D21" s="215">
        <f>info!D15</f>
        <v>0</v>
      </c>
      <c r="E21" s="215">
        <f>info!E15</f>
        <v>0</v>
      </c>
      <c r="F21" s="215">
        <f>info!F15</f>
        <v>0</v>
      </c>
      <c r="G21" s="216"/>
      <c r="H21" s="216"/>
      <c r="I21" s="216"/>
      <c r="J21" s="215">
        <f>info!J15</f>
        <v>0</v>
      </c>
      <c r="K21" s="216">
        <f>info!K15</f>
        <v>0</v>
      </c>
    </row>
    <row r="22" spans="1:11" ht="79.5" hidden="1" customHeight="1" x14ac:dyDescent="0.35">
      <c r="A22" s="154">
        <v>15</v>
      </c>
      <c r="B22" s="217">
        <f>info!B16</f>
        <v>0</v>
      </c>
      <c r="C22" s="214">
        <f>info!C16</f>
        <v>0</v>
      </c>
      <c r="D22" s="215">
        <f>info!D16</f>
        <v>0</v>
      </c>
      <c r="E22" s="215">
        <f>info!E16</f>
        <v>0</v>
      </c>
      <c r="F22" s="215">
        <f>info!F16</f>
        <v>0</v>
      </c>
      <c r="G22" s="216"/>
      <c r="H22" s="216"/>
      <c r="I22" s="216"/>
      <c r="J22" s="215">
        <f>info!J16</f>
        <v>0</v>
      </c>
      <c r="K22" s="216">
        <f>info!K16</f>
        <v>0</v>
      </c>
    </row>
    <row r="23" spans="1:11" ht="4" hidden="1" customHeight="1" x14ac:dyDescent="0.35">
      <c r="A23" s="154">
        <v>16</v>
      </c>
      <c r="B23" s="217">
        <f>info!B17</f>
        <v>0</v>
      </c>
      <c r="C23" s="214">
        <f>info!C17</f>
        <v>0</v>
      </c>
      <c r="D23" s="215">
        <f>info!D17</f>
        <v>0</v>
      </c>
      <c r="E23" s="215">
        <f>info!E17</f>
        <v>0</v>
      </c>
      <c r="F23" s="215">
        <f>info!F17</f>
        <v>0</v>
      </c>
      <c r="G23" s="216"/>
      <c r="H23" s="216"/>
      <c r="I23" s="216"/>
      <c r="J23" s="215">
        <f>info!J17</f>
        <v>0</v>
      </c>
      <c r="K23" s="216">
        <f>info!K17</f>
        <v>0</v>
      </c>
    </row>
    <row r="24" spans="1:11" ht="79.5" hidden="1" customHeight="1" x14ac:dyDescent="0.35">
      <c r="A24" s="154">
        <v>17</v>
      </c>
      <c r="B24" s="217">
        <f>info!B18</f>
        <v>0</v>
      </c>
      <c r="C24" s="214">
        <f>info!C18</f>
        <v>0</v>
      </c>
      <c r="D24" s="215">
        <f>info!D18</f>
        <v>0</v>
      </c>
      <c r="E24" s="215">
        <f>info!E18</f>
        <v>0</v>
      </c>
      <c r="F24" s="215">
        <f>info!F18</f>
        <v>0</v>
      </c>
      <c r="G24" s="216"/>
      <c r="H24" s="216"/>
      <c r="I24" s="216"/>
      <c r="J24" s="215">
        <f>info!J18</f>
        <v>0</v>
      </c>
      <c r="K24" s="216">
        <f>info!K18</f>
        <v>0</v>
      </c>
    </row>
    <row r="25" spans="1:11" ht="79.5" hidden="1" customHeight="1" x14ac:dyDescent="0.35">
      <c r="A25" s="154">
        <v>18</v>
      </c>
      <c r="B25" s="217">
        <f>info!B19</f>
        <v>0</v>
      </c>
      <c r="C25" s="214">
        <f>info!C19</f>
        <v>0</v>
      </c>
      <c r="D25" s="215">
        <f>info!D19</f>
        <v>0</v>
      </c>
      <c r="E25" s="215">
        <f>info!E19</f>
        <v>0</v>
      </c>
      <c r="F25" s="215">
        <f>info!F19</f>
        <v>0</v>
      </c>
      <c r="G25" s="216"/>
      <c r="H25" s="216"/>
      <c r="I25" s="216"/>
      <c r="J25" s="215">
        <f>info!J19</f>
        <v>0</v>
      </c>
      <c r="K25" s="216">
        <f>info!K19</f>
        <v>0</v>
      </c>
    </row>
    <row r="26" spans="1:11" ht="79.5" hidden="1" customHeight="1" x14ac:dyDescent="0.35">
      <c r="A26" s="154">
        <v>19</v>
      </c>
      <c r="B26" s="217">
        <f>info!B20</f>
        <v>0</v>
      </c>
      <c r="C26" s="214">
        <f>info!C20</f>
        <v>0</v>
      </c>
      <c r="D26" s="215">
        <f>info!D20</f>
        <v>0</v>
      </c>
      <c r="E26" s="215">
        <f>info!E20</f>
        <v>0</v>
      </c>
      <c r="F26" s="215">
        <f>info!F20</f>
        <v>0</v>
      </c>
      <c r="G26" s="216"/>
      <c r="H26" s="216"/>
      <c r="I26" s="216"/>
      <c r="J26" s="215">
        <f>info!J20</f>
        <v>0</v>
      </c>
      <c r="K26" s="216">
        <f>info!K20</f>
        <v>0</v>
      </c>
    </row>
    <row r="27" spans="1:11" ht="56" hidden="1" customHeight="1" x14ac:dyDescent="0.35">
      <c r="A27" s="154">
        <v>20</v>
      </c>
      <c r="B27" s="217">
        <f>info!B21</f>
        <v>0</v>
      </c>
      <c r="C27" s="214">
        <f>info!C21</f>
        <v>0</v>
      </c>
      <c r="D27" s="215">
        <f>info!D21</f>
        <v>0</v>
      </c>
      <c r="E27" s="215">
        <f>info!E21</f>
        <v>0</v>
      </c>
      <c r="F27" s="215">
        <f>info!F21</f>
        <v>0</v>
      </c>
      <c r="G27" s="216"/>
      <c r="H27" s="216"/>
      <c r="I27" s="216"/>
      <c r="J27" s="215">
        <f>info!J21</f>
        <v>0</v>
      </c>
      <c r="K27" s="216">
        <f>info!K21</f>
        <v>0</v>
      </c>
    </row>
    <row r="28" spans="1:11" ht="79.5" hidden="1" customHeight="1" x14ac:dyDescent="0.35">
      <c r="A28" s="154">
        <v>21</v>
      </c>
      <c r="B28" s="217">
        <f>info!B22</f>
        <v>0</v>
      </c>
      <c r="C28" s="214">
        <f>info!C22</f>
        <v>0</v>
      </c>
      <c r="D28" s="215">
        <f>info!D22</f>
        <v>0</v>
      </c>
      <c r="E28" s="215">
        <f>info!E22</f>
        <v>0</v>
      </c>
      <c r="F28" s="215">
        <f>info!F22</f>
        <v>0</v>
      </c>
      <c r="G28" s="216"/>
      <c r="H28" s="216"/>
      <c r="I28" s="216"/>
      <c r="J28" s="215">
        <f>info!J22</f>
        <v>0</v>
      </c>
      <c r="K28" s="216">
        <f>info!K22</f>
        <v>0</v>
      </c>
    </row>
    <row r="29" spans="1:11" ht="79.5" hidden="1" customHeight="1" x14ac:dyDescent="0.35">
      <c r="A29" s="154">
        <v>22</v>
      </c>
      <c r="B29" s="217">
        <f>info!B23</f>
        <v>0</v>
      </c>
      <c r="C29" s="214">
        <f>info!C23</f>
        <v>0</v>
      </c>
      <c r="D29" s="215">
        <f>info!D23</f>
        <v>0</v>
      </c>
      <c r="E29" s="215">
        <f>info!E23</f>
        <v>0</v>
      </c>
      <c r="F29" s="215">
        <f>info!F23</f>
        <v>0</v>
      </c>
      <c r="G29" s="216"/>
      <c r="H29" s="216"/>
      <c r="I29" s="216"/>
      <c r="J29" s="215">
        <f>info!J23</f>
        <v>0</v>
      </c>
      <c r="K29" s="216">
        <f>info!K23</f>
        <v>0</v>
      </c>
    </row>
    <row r="30" spans="1:11" ht="79.5" hidden="1" customHeight="1" x14ac:dyDescent="0.35">
      <c r="A30" s="154">
        <v>23</v>
      </c>
      <c r="B30" s="217">
        <f>info!B24</f>
        <v>0</v>
      </c>
      <c r="C30" s="214">
        <f>info!C24</f>
        <v>0</v>
      </c>
      <c r="D30" s="215">
        <f>info!D24</f>
        <v>0</v>
      </c>
      <c r="E30" s="215">
        <f>info!E24</f>
        <v>0</v>
      </c>
      <c r="F30" s="215">
        <f>info!F24</f>
        <v>0</v>
      </c>
      <c r="G30" s="216"/>
      <c r="H30" s="216"/>
      <c r="I30" s="216"/>
      <c r="J30" s="215">
        <f>info!J24</f>
        <v>0</v>
      </c>
      <c r="K30" s="216">
        <f>info!K24</f>
        <v>0</v>
      </c>
    </row>
    <row r="31" spans="1:11" ht="79.5" hidden="1" customHeight="1" x14ac:dyDescent="0.35">
      <c r="A31" s="154">
        <v>24</v>
      </c>
      <c r="B31" s="217">
        <f>info!B25</f>
        <v>0</v>
      </c>
      <c r="C31" s="214">
        <f>info!C25</f>
        <v>0</v>
      </c>
      <c r="D31" s="215">
        <f>info!D25</f>
        <v>0</v>
      </c>
      <c r="E31" s="215">
        <f>info!E25</f>
        <v>0</v>
      </c>
      <c r="F31" s="215">
        <f>info!F25</f>
        <v>0</v>
      </c>
      <c r="G31" s="216"/>
      <c r="H31" s="216"/>
      <c r="I31" s="216"/>
      <c r="J31" s="215">
        <f>info!J25</f>
        <v>0</v>
      </c>
      <c r="K31" s="216">
        <f>info!K25</f>
        <v>0</v>
      </c>
    </row>
    <row r="32" spans="1:11" ht="6" hidden="1" customHeight="1" x14ac:dyDescent="0.35">
      <c r="A32" s="154">
        <v>25</v>
      </c>
      <c r="B32" s="217">
        <f>info!B26</f>
        <v>0</v>
      </c>
      <c r="C32" s="214">
        <f>info!C26</f>
        <v>0</v>
      </c>
      <c r="D32" s="215">
        <f>info!D26</f>
        <v>0</v>
      </c>
      <c r="E32" s="215">
        <f>info!E26</f>
        <v>0</v>
      </c>
      <c r="F32" s="215">
        <f>info!F26</f>
        <v>0</v>
      </c>
      <c r="G32" s="216"/>
      <c r="H32" s="216"/>
      <c r="I32" s="216"/>
      <c r="J32" s="215">
        <f>info!J26</f>
        <v>0</v>
      </c>
      <c r="K32" s="216">
        <f>info!K26</f>
        <v>0</v>
      </c>
    </row>
    <row r="33" spans="1:11" ht="79.5" hidden="1" customHeight="1" x14ac:dyDescent="0.35">
      <c r="A33" s="154">
        <v>26</v>
      </c>
      <c r="B33" s="217">
        <f>info!B27</f>
        <v>0</v>
      </c>
      <c r="C33" s="214">
        <f>info!C27</f>
        <v>0</v>
      </c>
      <c r="D33" s="215">
        <f>info!D27</f>
        <v>0</v>
      </c>
      <c r="E33" s="215">
        <f>info!E27</f>
        <v>0</v>
      </c>
      <c r="F33" s="215">
        <f>info!F27</f>
        <v>0</v>
      </c>
      <c r="G33" s="216"/>
      <c r="H33" s="216"/>
      <c r="I33" s="216"/>
      <c r="J33" s="215">
        <f>info!J27</f>
        <v>0</v>
      </c>
      <c r="K33" s="216">
        <f>info!K27</f>
        <v>0</v>
      </c>
    </row>
    <row r="34" spans="1:11" ht="79.5" hidden="1" customHeight="1" x14ac:dyDescent="0.35">
      <c r="A34" s="154">
        <v>27</v>
      </c>
      <c r="B34" s="217">
        <f>info!B28</f>
        <v>0</v>
      </c>
      <c r="C34" s="214">
        <f>info!C28</f>
        <v>0</v>
      </c>
      <c r="D34" s="215">
        <f>info!D28</f>
        <v>0</v>
      </c>
      <c r="E34" s="215">
        <f>info!E28</f>
        <v>0</v>
      </c>
      <c r="F34" s="215">
        <f>info!F28</f>
        <v>0</v>
      </c>
      <c r="G34" s="216"/>
      <c r="H34" s="216"/>
      <c r="I34" s="216"/>
      <c r="J34" s="215">
        <f>info!J28</f>
        <v>0</v>
      </c>
      <c r="K34" s="216">
        <f>info!K28</f>
        <v>0</v>
      </c>
    </row>
    <row r="35" spans="1:11" ht="15" hidden="1" customHeight="1" x14ac:dyDescent="0.35">
      <c r="A35" s="154">
        <v>28</v>
      </c>
      <c r="B35" s="217">
        <f>info!B29</f>
        <v>0</v>
      </c>
      <c r="C35" s="214">
        <f>info!C29</f>
        <v>0</v>
      </c>
      <c r="D35" s="215">
        <f>info!D29</f>
        <v>0</v>
      </c>
      <c r="E35" s="215">
        <f>info!E29</f>
        <v>0</v>
      </c>
      <c r="F35" s="215">
        <f>info!F29</f>
        <v>0</v>
      </c>
      <c r="G35" s="216"/>
      <c r="H35" s="216"/>
      <c r="I35" s="216"/>
      <c r="J35" s="215">
        <f>info!J29</f>
        <v>0</v>
      </c>
      <c r="K35" s="216">
        <f>info!K29</f>
        <v>0</v>
      </c>
    </row>
    <row r="36" spans="1:11" ht="79.5" hidden="1" customHeight="1" x14ac:dyDescent="0.35">
      <c r="A36" s="154">
        <v>29</v>
      </c>
      <c r="B36" s="217">
        <f>info!B30</f>
        <v>0</v>
      </c>
      <c r="C36" s="214">
        <f>info!C30</f>
        <v>0</v>
      </c>
      <c r="D36" s="215">
        <f>info!D30</f>
        <v>0</v>
      </c>
      <c r="E36" s="215">
        <f>info!E30</f>
        <v>0</v>
      </c>
      <c r="F36" s="215">
        <f>info!F30</f>
        <v>0</v>
      </c>
      <c r="G36" s="216"/>
      <c r="H36" s="216"/>
      <c r="I36" s="216"/>
      <c r="J36" s="215">
        <f>info!J30</f>
        <v>0</v>
      </c>
      <c r="K36" s="216">
        <f>info!K30</f>
        <v>0</v>
      </c>
    </row>
    <row r="37" spans="1:11" ht="79.5" hidden="1" customHeight="1" x14ac:dyDescent="0.35">
      <c r="A37" s="154">
        <v>30</v>
      </c>
      <c r="B37" s="217">
        <f>info!B31</f>
        <v>0</v>
      </c>
      <c r="C37" s="214">
        <f>info!C31</f>
        <v>0</v>
      </c>
      <c r="D37" s="215">
        <f>info!D31</f>
        <v>0</v>
      </c>
      <c r="E37" s="215">
        <f>info!E31</f>
        <v>0</v>
      </c>
      <c r="F37" s="215">
        <f>info!F31</f>
        <v>0</v>
      </c>
      <c r="G37" s="216"/>
      <c r="H37" s="216"/>
      <c r="I37" s="216"/>
      <c r="J37" s="215">
        <f>info!J31</f>
        <v>0</v>
      </c>
      <c r="K37" s="216">
        <f>info!K31</f>
        <v>0</v>
      </c>
    </row>
    <row r="38" spans="1:11" ht="79.5" hidden="1" customHeight="1" x14ac:dyDescent="0.35">
      <c r="A38" s="154">
        <v>31</v>
      </c>
      <c r="B38" s="217">
        <f>info!B32</f>
        <v>0</v>
      </c>
      <c r="C38" s="214">
        <f>info!C32</f>
        <v>0</v>
      </c>
      <c r="D38" s="215">
        <f>info!D32</f>
        <v>0</v>
      </c>
      <c r="E38" s="215">
        <f>info!E32</f>
        <v>0</v>
      </c>
      <c r="F38" s="215">
        <f>info!F32</f>
        <v>0</v>
      </c>
      <c r="G38" s="216"/>
      <c r="H38" s="216"/>
      <c r="I38" s="216"/>
      <c r="J38" s="215">
        <f>info!J32</f>
        <v>0</v>
      </c>
      <c r="K38" s="216">
        <f>info!K32</f>
        <v>0</v>
      </c>
    </row>
    <row r="39" spans="1:11" ht="4" hidden="1" customHeight="1" x14ac:dyDescent="0.35">
      <c r="A39" s="154">
        <v>32</v>
      </c>
      <c r="B39" s="217">
        <f>info!B33</f>
        <v>0</v>
      </c>
      <c r="C39" s="214">
        <f>info!C33</f>
        <v>0</v>
      </c>
      <c r="D39" s="215">
        <f>info!D33</f>
        <v>0</v>
      </c>
      <c r="E39" s="215">
        <f>info!E33</f>
        <v>0</v>
      </c>
      <c r="F39" s="215">
        <f>info!F33</f>
        <v>0</v>
      </c>
      <c r="G39" s="216"/>
      <c r="H39" s="216"/>
      <c r="I39" s="216"/>
      <c r="J39" s="215">
        <f>info!J33</f>
        <v>0</v>
      </c>
      <c r="K39" s="216">
        <f>info!K33</f>
        <v>0</v>
      </c>
    </row>
    <row r="40" spans="1:11" ht="79.5" hidden="1" customHeight="1" x14ac:dyDescent="0.35">
      <c r="A40" s="154">
        <v>33</v>
      </c>
      <c r="B40" s="217">
        <f>info!B34</f>
        <v>0</v>
      </c>
      <c r="C40" s="214">
        <f>info!C34</f>
        <v>0</v>
      </c>
      <c r="D40" s="215">
        <f>info!D34</f>
        <v>0</v>
      </c>
      <c r="E40" s="215">
        <f>info!E34</f>
        <v>0</v>
      </c>
      <c r="F40" s="215">
        <f>info!F34</f>
        <v>0</v>
      </c>
      <c r="G40" s="216"/>
      <c r="H40" s="216"/>
      <c r="I40" s="216"/>
      <c r="J40" s="215">
        <f>info!J34</f>
        <v>0</v>
      </c>
      <c r="K40" s="216">
        <f>info!K34</f>
        <v>0</v>
      </c>
    </row>
    <row r="41" spans="1:11" ht="79.5" hidden="1" customHeight="1" x14ac:dyDescent="0.35">
      <c r="A41" s="154">
        <v>34</v>
      </c>
      <c r="B41" s="217">
        <f>info!B35</f>
        <v>0</v>
      </c>
      <c r="C41" s="214">
        <f>info!C35</f>
        <v>0</v>
      </c>
      <c r="D41" s="215">
        <f>info!D35</f>
        <v>0</v>
      </c>
      <c r="E41" s="215">
        <f>info!E35</f>
        <v>0</v>
      </c>
      <c r="F41" s="215">
        <f>info!F35</f>
        <v>0</v>
      </c>
      <c r="G41" s="216"/>
      <c r="H41" s="216"/>
      <c r="I41" s="216"/>
      <c r="J41" s="215">
        <f>info!J35</f>
        <v>0</v>
      </c>
      <c r="K41" s="216">
        <f>info!K35</f>
        <v>0</v>
      </c>
    </row>
    <row r="42" spans="1:11" ht="79.5" hidden="1" customHeight="1" x14ac:dyDescent="0.35">
      <c r="A42" s="154">
        <v>35</v>
      </c>
      <c r="B42" s="217">
        <f>info!B36</f>
        <v>0</v>
      </c>
      <c r="C42" s="214">
        <f>info!C36</f>
        <v>0</v>
      </c>
      <c r="D42" s="215">
        <f>info!D36</f>
        <v>0</v>
      </c>
      <c r="E42" s="215">
        <f>info!E36</f>
        <v>0</v>
      </c>
      <c r="F42" s="215">
        <f>info!F36</f>
        <v>0</v>
      </c>
      <c r="G42" s="216"/>
      <c r="H42" s="216"/>
      <c r="I42" s="216"/>
      <c r="J42" s="215">
        <f>info!J36</f>
        <v>0</v>
      </c>
      <c r="K42" s="216">
        <f>info!K36</f>
        <v>0</v>
      </c>
    </row>
    <row r="43" spans="1:11" ht="50.5" hidden="1" customHeight="1" x14ac:dyDescent="0.35">
      <c r="A43" s="144">
        <v>36</v>
      </c>
      <c r="B43" s="217">
        <f>info!B37</f>
        <v>0</v>
      </c>
      <c r="C43" s="214">
        <f>info!C37</f>
        <v>0</v>
      </c>
      <c r="D43" s="215">
        <f>info!D37</f>
        <v>0</v>
      </c>
      <c r="E43" s="215">
        <f>info!E37</f>
        <v>0</v>
      </c>
      <c r="F43" s="215">
        <f>info!F37</f>
        <v>0</v>
      </c>
      <c r="G43" s="216"/>
      <c r="H43" s="216"/>
      <c r="I43" s="216"/>
      <c r="J43" s="215">
        <f>info!J37</f>
        <v>0</v>
      </c>
      <c r="K43" s="216">
        <f>info!K37</f>
        <v>0</v>
      </c>
    </row>
    <row r="44" spans="1:11" ht="79.5" hidden="1" customHeight="1" x14ac:dyDescent="0.35">
      <c r="A44" s="144">
        <v>50</v>
      </c>
      <c r="B44" s="217">
        <f>info!B38</f>
        <v>0</v>
      </c>
      <c r="C44" s="214">
        <f>info!C38</f>
        <v>0</v>
      </c>
      <c r="D44" s="215">
        <f>info!D38</f>
        <v>0</v>
      </c>
      <c r="E44" s="215">
        <f>info!E38</f>
        <v>0</v>
      </c>
      <c r="F44" s="215">
        <f>info!F38</f>
        <v>0</v>
      </c>
      <c r="G44" s="216"/>
      <c r="H44" s="216"/>
      <c r="I44" s="216"/>
      <c r="J44" s="215">
        <f>info!J38</f>
        <v>0</v>
      </c>
      <c r="K44" s="216">
        <f>info!K38</f>
        <v>0</v>
      </c>
    </row>
    <row r="45" spans="1:11" ht="79.5" hidden="1" customHeight="1" x14ac:dyDescent="0.35">
      <c r="A45" s="144">
        <v>51</v>
      </c>
      <c r="B45" s="217">
        <f>info!B39</f>
        <v>0</v>
      </c>
      <c r="C45" s="214">
        <f>info!C39</f>
        <v>0</v>
      </c>
      <c r="D45" s="215">
        <f>info!D39</f>
        <v>0</v>
      </c>
      <c r="E45" s="215">
        <f>info!E39</f>
        <v>0</v>
      </c>
      <c r="F45" s="215">
        <f>info!F39</f>
        <v>0</v>
      </c>
      <c r="G45" s="216"/>
      <c r="H45" s="216"/>
      <c r="I45" s="216"/>
      <c r="J45" s="215">
        <f>info!J39</f>
        <v>0</v>
      </c>
      <c r="K45" s="216">
        <f>info!K39</f>
        <v>0</v>
      </c>
    </row>
    <row r="46" spans="1:11" ht="68" hidden="1" customHeight="1" x14ac:dyDescent="0.35">
      <c r="A46" s="144">
        <v>52</v>
      </c>
      <c r="B46" s="217">
        <f>info!B40</f>
        <v>0</v>
      </c>
      <c r="C46" s="214">
        <f>info!C40</f>
        <v>0</v>
      </c>
      <c r="D46" s="215">
        <f>info!D40</f>
        <v>0</v>
      </c>
      <c r="E46" s="215">
        <f>info!E40</f>
        <v>0</v>
      </c>
      <c r="F46" s="215">
        <f>info!F40</f>
        <v>0</v>
      </c>
      <c r="G46" s="216"/>
      <c r="H46" s="216"/>
      <c r="I46" s="216"/>
      <c r="J46" s="215">
        <f>info!J40</f>
        <v>0</v>
      </c>
      <c r="K46" s="216">
        <f>info!K40</f>
        <v>0</v>
      </c>
    </row>
    <row r="47" spans="1:11" ht="79.5" hidden="1" customHeight="1" x14ac:dyDescent="0.35">
      <c r="A47" s="144">
        <v>53</v>
      </c>
      <c r="B47" s="217">
        <f>info!B41</f>
        <v>0</v>
      </c>
      <c r="C47" s="214">
        <f>info!C41</f>
        <v>0</v>
      </c>
      <c r="D47" s="215">
        <f>info!D41</f>
        <v>0</v>
      </c>
      <c r="E47" s="215">
        <f>info!E41</f>
        <v>0</v>
      </c>
      <c r="F47" s="215">
        <f>info!F41</f>
        <v>0</v>
      </c>
      <c r="G47" s="216"/>
      <c r="H47" s="216"/>
      <c r="I47" s="216"/>
      <c r="J47" s="215">
        <f>info!J41</f>
        <v>0</v>
      </c>
      <c r="K47" s="216">
        <f>info!K41</f>
        <v>0</v>
      </c>
    </row>
    <row r="48" spans="1:11" ht="79.5" hidden="1" customHeight="1" x14ac:dyDescent="0.35">
      <c r="A48" s="144">
        <v>54</v>
      </c>
      <c r="B48" s="217">
        <f>info!B42</f>
        <v>0</v>
      </c>
      <c r="C48" s="214">
        <f>info!C42</f>
        <v>0</v>
      </c>
      <c r="D48" s="215">
        <f>info!D42</f>
        <v>0</v>
      </c>
      <c r="E48" s="215">
        <f>info!E42</f>
        <v>0</v>
      </c>
      <c r="F48" s="215">
        <f>info!F42</f>
        <v>0</v>
      </c>
      <c r="G48" s="216"/>
      <c r="H48" s="216"/>
      <c r="I48" s="216"/>
      <c r="J48" s="215">
        <f>info!J42</f>
        <v>0</v>
      </c>
      <c r="K48" s="216">
        <f>info!K42</f>
        <v>0</v>
      </c>
    </row>
    <row r="49" spans="1:11" ht="79.5" hidden="1" customHeight="1" x14ac:dyDescent="0.35">
      <c r="A49" s="144">
        <v>55</v>
      </c>
      <c r="B49" s="217">
        <f>info!B43</f>
        <v>0</v>
      </c>
      <c r="C49" s="214">
        <f>info!C43</f>
        <v>0</v>
      </c>
      <c r="D49" s="215">
        <f>info!D43</f>
        <v>0</v>
      </c>
      <c r="E49" s="215">
        <f>info!E43</f>
        <v>0</v>
      </c>
      <c r="F49" s="215">
        <f>info!F43</f>
        <v>0</v>
      </c>
      <c r="G49" s="216"/>
      <c r="H49" s="216"/>
      <c r="I49" s="216"/>
      <c r="J49" s="215">
        <f>info!J43</f>
        <v>0</v>
      </c>
      <c r="K49" s="216">
        <f>info!K43</f>
        <v>0</v>
      </c>
    </row>
    <row r="50" spans="1:11" ht="9.5" hidden="1" customHeight="1" x14ac:dyDescent="0.35">
      <c r="A50" s="144">
        <v>56</v>
      </c>
      <c r="B50" s="217">
        <f>info!B44</f>
        <v>0</v>
      </c>
      <c r="C50" s="214">
        <f>info!C44</f>
        <v>0</v>
      </c>
      <c r="D50" s="215">
        <f>info!D44</f>
        <v>0</v>
      </c>
      <c r="E50" s="215">
        <f>info!E44</f>
        <v>0</v>
      </c>
      <c r="F50" s="215">
        <f>info!F44</f>
        <v>0</v>
      </c>
      <c r="G50" s="216"/>
      <c r="H50" s="216"/>
      <c r="I50" s="216"/>
      <c r="J50" s="215">
        <f>info!J44</f>
        <v>0</v>
      </c>
      <c r="K50" s="216">
        <f>info!K44</f>
        <v>0</v>
      </c>
    </row>
    <row r="51" spans="1:11" ht="79.5" hidden="1" customHeight="1" x14ac:dyDescent="0.35">
      <c r="A51" s="144">
        <v>28</v>
      </c>
      <c r="B51" s="217">
        <f>info!B45</f>
        <v>0</v>
      </c>
      <c r="C51" s="214">
        <f>info!C45</f>
        <v>0</v>
      </c>
      <c r="D51" s="215">
        <f>info!D45</f>
        <v>0</v>
      </c>
      <c r="E51" s="215">
        <f>info!E45</f>
        <v>0</v>
      </c>
      <c r="F51" s="215">
        <f>info!F45</f>
        <v>0</v>
      </c>
      <c r="G51" s="216"/>
      <c r="H51" s="216"/>
      <c r="I51" s="216"/>
      <c r="J51" s="215">
        <f>info!J45</f>
        <v>0</v>
      </c>
      <c r="K51" s="216">
        <f>info!K45</f>
        <v>0</v>
      </c>
    </row>
    <row r="52" spans="1:11" ht="79.5" hidden="1" customHeight="1" x14ac:dyDescent="0.35">
      <c r="A52" s="144">
        <v>29</v>
      </c>
      <c r="B52" s="217">
        <f>info!B46</f>
        <v>0</v>
      </c>
      <c r="C52" s="214">
        <f>info!C46</f>
        <v>0</v>
      </c>
      <c r="D52" s="215">
        <f>info!D46</f>
        <v>0</v>
      </c>
      <c r="E52" s="215">
        <f>info!E46</f>
        <v>0</v>
      </c>
      <c r="F52" s="215">
        <f>info!F46</f>
        <v>0</v>
      </c>
      <c r="G52" s="216"/>
      <c r="H52" s="216"/>
      <c r="I52" s="216"/>
      <c r="J52" s="215">
        <f>info!J46</f>
        <v>0</v>
      </c>
      <c r="K52" s="216">
        <f>info!K46</f>
        <v>0</v>
      </c>
    </row>
    <row r="53" spans="1:11" ht="79.5" hidden="1" customHeight="1" x14ac:dyDescent="0.35">
      <c r="A53" s="144">
        <v>30</v>
      </c>
      <c r="B53" s="217">
        <f>info!B47</f>
        <v>0</v>
      </c>
      <c r="C53" s="214">
        <f>info!C47</f>
        <v>0</v>
      </c>
      <c r="D53" s="215">
        <f>info!D47</f>
        <v>0</v>
      </c>
      <c r="E53" s="215">
        <f>info!E47</f>
        <v>0</v>
      </c>
      <c r="F53" s="215">
        <f>info!F47</f>
        <v>0</v>
      </c>
      <c r="G53" s="216"/>
      <c r="H53" s="216"/>
      <c r="I53" s="216"/>
      <c r="J53" s="215">
        <f>info!J47</f>
        <v>0</v>
      </c>
      <c r="K53" s="216">
        <f>info!K47</f>
        <v>0</v>
      </c>
    </row>
    <row r="54" spans="1:11" ht="54.5" hidden="1" customHeight="1" x14ac:dyDescent="0.35">
      <c r="A54" s="144">
        <v>31</v>
      </c>
      <c r="B54" s="217">
        <f>info!B48</f>
        <v>0</v>
      </c>
      <c r="C54" s="214">
        <f>info!C48</f>
        <v>0</v>
      </c>
      <c r="D54" s="215">
        <f>info!D48</f>
        <v>0</v>
      </c>
      <c r="E54" s="215">
        <f>info!E48</f>
        <v>0</v>
      </c>
      <c r="F54" s="215">
        <f>info!F48</f>
        <v>0</v>
      </c>
      <c r="G54" s="216"/>
      <c r="H54" s="216"/>
      <c r="I54" s="216"/>
      <c r="J54" s="215">
        <f>info!J48</f>
        <v>0</v>
      </c>
      <c r="K54" s="216">
        <f>info!K48</f>
        <v>0</v>
      </c>
    </row>
    <row r="55" spans="1:11" ht="79.5" hidden="1" customHeight="1" x14ac:dyDescent="0.35">
      <c r="A55" s="144">
        <v>32</v>
      </c>
      <c r="B55" s="217">
        <f>info!B49</f>
        <v>0</v>
      </c>
      <c r="C55" s="214">
        <f>info!C49</f>
        <v>0</v>
      </c>
      <c r="D55" s="215">
        <f>info!D49</f>
        <v>0</v>
      </c>
      <c r="E55" s="215">
        <f>info!E49</f>
        <v>0</v>
      </c>
      <c r="F55" s="215">
        <f>info!F49</f>
        <v>0</v>
      </c>
      <c r="G55" s="216"/>
      <c r="H55" s="216"/>
      <c r="I55" s="216"/>
      <c r="J55" s="215">
        <f>info!J49</f>
        <v>0</v>
      </c>
      <c r="K55" s="216">
        <f>info!K49</f>
        <v>0</v>
      </c>
    </row>
    <row r="56" spans="1:11" ht="79.5" hidden="1" customHeight="1" x14ac:dyDescent="0.35">
      <c r="A56" s="144">
        <v>33</v>
      </c>
      <c r="B56" s="217">
        <f>info!B50</f>
        <v>0</v>
      </c>
      <c r="C56" s="214">
        <f>info!C50</f>
        <v>0</v>
      </c>
      <c r="D56" s="215">
        <f>info!D50</f>
        <v>0</v>
      </c>
      <c r="E56" s="215">
        <f>info!E50</f>
        <v>0</v>
      </c>
      <c r="F56" s="215">
        <f>info!F50</f>
        <v>0</v>
      </c>
      <c r="G56" s="216"/>
      <c r="H56" s="216"/>
      <c r="I56" s="216"/>
      <c r="J56" s="215">
        <f>info!J50</f>
        <v>0</v>
      </c>
      <c r="K56" s="216">
        <f>info!K50</f>
        <v>0</v>
      </c>
    </row>
    <row r="57" spans="1:11" ht="79.5" hidden="1" customHeight="1" x14ac:dyDescent="0.35">
      <c r="A57" s="144">
        <v>34</v>
      </c>
      <c r="B57" s="217">
        <f>info!B51</f>
        <v>0</v>
      </c>
      <c r="C57" s="214">
        <f>info!C51</f>
        <v>0</v>
      </c>
      <c r="D57" s="215">
        <f>info!D51</f>
        <v>0</v>
      </c>
      <c r="E57" s="215">
        <f>info!E51</f>
        <v>0</v>
      </c>
      <c r="F57" s="215">
        <f>info!F51</f>
        <v>0</v>
      </c>
      <c r="G57" s="216"/>
      <c r="H57" s="216"/>
      <c r="I57" s="216"/>
      <c r="J57" s="215">
        <f>info!J51</f>
        <v>0</v>
      </c>
      <c r="K57" s="216">
        <f>info!K51</f>
        <v>0</v>
      </c>
    </row>
    <row r="58" spans="1:11" ht="79.5" hidden="1" customHeight="1" x14ac:dyDescent="0.35">
      <c r="A58" s="144">
        <v>35</v>
      </c>
      <c r="B58" s="217">
        <f>info!B52</f>
        <v>0</v>
      </c>
      <c r="C58" s="214">
        <f>info!C52</f>
        <v>0</v>
      </c>
      <c r="D58" s="215">
        <f>info!D52</f>
        <v>0</v>
      </c>
      <c r="E58" s="215">
        <f>info!E52</f>
        <v>0</v>
      </c>
      <c r="F58" s="215">
        <f>info!F52</f>
        <v>0</v>
      </c>
      <c r="G58" s="216"/>
      <c r="H58" s="216"/>
      <c r="I58" s="216"/>
      <c r="J58" s="215">
        <f>info!J52</f>
        <v>0</v>
      </c>
      <c r="K58" s="216">
        <f>info!K52</f>
        <v>0</v>
      </c>
    </row>
    <row r="59" spans="1:11" ht="79.5" hidden="1" customHeight="1" x14ac:dyDescent="0.35">
      <c r="A59" s="144">
        <v>36</v>
      </c>
      <c r="B59" s="217">
        <f>info!B53</f>
        <v>0</v>
      </c>
      <c r="C59" s="214">
        <f>info!C53</f>
        <v>0</v>
      </c>
      <c r="D59" s="215">
        <f>info!D53</f>
        <v>0</v>
      </c>
      <c r="E59" s="215">
        <f>info!E53</f>
        <v>0</v>
      </c>
      <c r="F59" s="215">
        <f>info!F53</f>
        <v>0</v>
      </c>
      <c r="G59" s="216"/>
      <c r="H59" s="216"/>
      <c r="I59" s="216"/>
      <c r="J59" s="215">
        <f>info!J53</f>
        <v>0</v>
      </c>
      <c r="K59" s="216">
        <f>info!K53</f>
        <v>0</v>
      </c>
    </row>
    <row r="60" spans="1:11" ht="72.5" hidden="1" customHeight="1" x14ac:dyDescent="0.35">
      <c r="A60" s="144">
        <v>37</v>
      </c>
      <c r="B60" s="217">
        <f>info!B54</f>
        <v>0</v>
      </c>
      <c r="C60" s="214">
        <f>info!C54</f>
        <v>0</v>
      </c>
      <c r="D60" s="215">
        <f>info!D54</f>
        <v>0</v>
      </c>
      <c r="E60" s="215">
        <f>info!E54</f>
        <v>0</v>
      </c>
      <c r="F60" s="215">
        <f>info!F54</f>
        <v>0</v>
      </c>
      <c r="G60" s="216"/>
      <c r="H60" s="216"/>
      <c r="I60" s="216"/>
      <c r="J60" s="215">
        <f>info!J54</f>
        <v>0</v>
      </c>
      <c r="K60" s="216">
        <f>info!K54</f>
        <v>0</v>
      </c>
    </row>
    <row r="61" spans="1:11" ht="79.5" hidden="1" customHeight="1" x14ac:dyDescent="0.35">
      <c r="A61" s="144">
        <v>39</v>
      </c>
      <c r="B61" s="217">
        <f>info!B55</f>
        <v>0</v>
      </c>
      <c r="C61" s="214">
        <f>info!C55</f>
        <v>0</v>
      </c>
      <c r="D61" s="215">
        <f>info!D55</f>
        <v>0</v>
      </c>
      <c r="E61" s="215">
        <f>info!E55</f>
        <v>0</v>
      </c>
      <c r="F61" s="215">
        <f>info!F55</f>
        <v>0</v>
      </c>
      <c r="G61" s="216"/>
      <c r="H61" s="216"/>
      <c r="I61" s="216"/>
      <c r="J61" s="215">
        <f>info!J55</f>
        <v>0</v>
      </c>
      <c r="K61" s="216">
        <f>info!K55</f>
        <v>0</v>
      </c>
    </row>
    <row r="62" spans="1:11" ht="79.5" hidden="1" customHeight="1" x14ac:dyDescent="0.35">
      <c r="A62" s="144">
        <v>40</v>
      </c>
      <c r="B62" s="217">
        <f>info!B56</f>
        <v>0</v>
      </c>
      <c r="C62" s="214">
        <f>info!C56</f>
        <v>0</v>
      </c>
      <c r="D62" s="215">
        <f>info!D56</f>
        <v>0</v>
      </c>
      <c r="E62" s="215">
        <f>info!E56</f>
        <v>0</v>
      </c>
      <c r="F62" s="215">
        <f>info!F56</f>
        <v>0</v>
      </c>
      <c r="G62" s="216"/>
      <c r="H62" s="216"/>
      <c r="I62" s="216"/>
      <c r="J62" s="215">
        <f>info!J56</f>
        <v>0</v>
      </c>
      <c r="K62" s="216">
        <f>info!K56</f>
        <v>0</v>
      </c>
    </row>
    <row r="63" spans="1:11" ht="74" hidden="1" customHeight="1" x14ac:dyDescent="0.35">
      <c r="A63" s="144">
        <v>41</v>
      </c>
      <c r="B63" s="217">
        <f>info!B57</f>
        <v>0</v>
      </c>
      <c r="C63" s="214">
        <f>info!C57</f>
        <v>0</v>
      </c>
      <c r="D63" s="215">
        <f>info!D57</f>
        <v>0</v>
      </c>
      <c r="E63" s="215">
        <f>info!E57</f>
        <v>0</v>
      </c>
      <c r="F63" s="215">
        <f>info!F57</f>
        <v>0</v>
      </c>
      <c r="G63" s="216"/>
      <c r="H63" s="216"/>
      <c r="I63" s="216"/>
      <c r="J63" s="215">
        <f>info!J57</f>
        <v>0</v>
      </c>
      <c r="K63" s="216">
        <f>info!K57</f>
        <v>0</v>
      </c>
    </row>
    <row r="64" spans="1:11" ht="79.5" hidden="1" customHeight="1" x14ac:dyDescent="0.35">
      <c r="A64" s="144">
        <v>42</v>
      </c>
      <c r="B64" s="217">
        <f>info!B58</f>
        <v>0</v>
      </c>
      <c r="C64" s="214">
        <f>info!C58</f>
        <v>0</v>
      </c>
      <c r="D64" s="215">
        <f>info!D58</f>
        <v>0</v>
      </c>
      <c r="E64" s="215">
        <f>info!E58</f>
        <v>0</v>
      </c>
      <c r="F64" s="215">
        <f>info!F58</f>
        <v>0</v>
      </c>
      <c r="G64" s="216"/>
      <c r="H64" s="216"/>
      <c r="I64" s="216"/>
      <c r="J64" s="215">
        <f>info!J58</f>
        <v>0</v>
      </c>
      <c r="K64" s="216">
        <f>info!K58</f>
        <v>0</v>
      </c>
    </row>
    <row r="65" spans="1:11" ht="26" hidden="1" customHeight="1" x14ac:dyDescent="0.35">
      <c r="A65" s="144">
        <v>43</v>
      </c>
      <c r="B65" s="217">
        <f>info!B59</f>
        <v>0</v>
      </c>
      <c r="C65" s="214">
        <f>info!C59</f>
        <v>0</v>
      </c>
      <c r="D65" s="215">
        <f>info!D59</f>
        <v>0</v>
      </c>
      <c r="E65" s="215">
        <f>info!E59</f>
        <v>0</v>
      </c>
      <c r="F65" s="215">
        <f>info!F59</f>
        <v>0</v>
      </c>
      <c r="G65" s="216"/>
      <c r="H65" s="216"/>
      <c r="I65" s="216"/>
      <c r="J65" s="215">
        <f>info!J59</f>
        <v>0</v>
      </c>
      <c r="K65" s="216">
        <f>info!K59</f>
        <v>0</v>
      </c>
    </row>
    <row r="66" spans="1:11" ht="79.5" hidden="1" customHeight="1" x14ac:dyDescent="0.35">
      <c r="A66" s="144">
        <v>44</v>
      </c>
      <c r="B66" s="217">
        <f>info!B60</f>
        <v>0</v>
      </c>
      <c r="C66" s="214">
        <f>info!C60</f>
        <v>0</v>
      </c>
      <c r="D66" s="215">
        <f>info!D60</f>
        <v>0</v>
      </c>
      <c r="E66" s="215">
        <f>info!E60</f>
        <v>0</v>
      </c>
      <c r="F66" s="215">
        <f>info!F60</f>
        <v>0</v>
      </c>
      <c r="G66" s="216"/>
      <c r="H66" s="216"/>
      <c r="I66" s="216"/>
      <c r="J66" s="215">
        <f>info!J60</f>
        <v>0</v>
      </c>
      <c r="K66" s="216">
        <f>info!K60</f>
        <v>0</v>
      </c>
    </row>
    <row r="67" spans="1:11" ht="79.5" hidden="1" customHeight="1" x14ac:dyDescent="0.35">
      <c r="A67" s="144">
        <v>45</v>
      </c>
      <c r="B67" s="217">
        <f>info!B61</f>
        <v>0</v>
      </c>
      <c r="C67" s="214">
        <f>info!C61</f>
        <v>0</v>
      </c>
      <c r="D67" s="215">
        <f>info!D61</f>
        <v>0</v>
      </c>
      <c r="E67" s="215">
        <f>info!E61</f>
        <v>0</v>
      </c>
      <c r="F67" s="215">
        <f>info!F61</f>
        <v>0</v>
      </c>
      <c r="G67" s="216"/>
      <c r="H67" s="216"/>
      <c r="I67" s="216"/>
      <c r="J67" s="215">
        <f>info!J61</f>
        <v>0</v>
      </c>
      <c r="K67" s="216">
        <f>info!K61</f>
        <v>0</v>
      </c>
    </row>
    <row r="68" spans="1:11" ht="79.5" hidden="1" customHeight="1" x14ac:dyDescent="0.35">
      <c r="A68" s="144">
        <v>46</v>
      </c>
      <c r="B68" s="217">
        <f>info!B62</f>
        <v>0</v>
      </c>
      <c r="C68" s="214">
        <f>info!C62</f>
        <v>0</v>
      </c>
      <c r="D68" s="215">
        <f>info!D62</f>
        <v>0</v>
      </c>
      <c r="E68" s="215">
        <f>info!E62</f>
        <v>0</v>
      </c>
      <c r="F68" s="215">
        <f>info!F62</f>
        <v>0</v>
      </c>
      <c r="G68" s="216"/>
      <c r="H68" s="216"/>
      <c r="I68" s="216"/>
      <c r="J68" s="215">
        <f>info!J62</f>
        <v>0</v>
      </c>
      <c r="K68" s="216">
        <f>info!K62</f>
        <v>0</v>
      </c>
    </row>
    <row r="69" spans="1:11" ht="79.5" hidden="1" customHeight="1" x14ac:dyDescent="0.35">
      <c r="A69" s="144">
        <v>47</v>
      </c>
      <c r="B69" s="217">
        <f>info!B63</f>
        <v>0</v>
      </c>
      <c r="C69" s="214">
        <f>info!C63</f>
        <v>0</v>
      </c>
      <c r="D69" s="215">
        <f>info!D63</f>
        <v>0</v>
      </c>
      <c r="E69" s="215">
        <f>info!E63</f>
        <v>0</v>
      </c>
      <c r="F69" s="215">
        <f>info!F63</f>
        <v>0</v>
      </c>
      <c r="G69" s="216"/>
      <c r="H69" s="216"/>
      <c r="I69" s="216"/>
      <c r="J69" s="215">
        <f>info!J63</f>
        <v>0</v>
      </c>
      <c r="K69" s="216">
        <f>info!K63</f>
        <v>0</v>
      </c>
    </row>
    <row r="70" spans="1:11" ht="79.5" hidden="1" customHeight="1" x14ac:dyDescent="0.35">
      <c r="A70" s="144">
        <v>48</v>
      </c>
      <c r="B70" s="217">
        <f>info!B64</f>
        <v>0</v>
      </c>
      <c r="C70" s="214">
        <f>info!C64</f>
        <v>0</v>
      </c>
      <c r="D70" s="215">
        <f>info!D64</f>
        <v>0</v>
      </c>
      <c r="E70" s="215">
        <f>info!E64</f>
        <v>0</v>
      </c>
      <c r="F70" s="215">
        <f>info!F64</f>
        <v>0</v>
      </c>
      <c r="G70" s="216"/>
      <c r="H70" s="216"/>
      <c r="I70" s="216"/>
      <c r="J70" s="215">
        <f>info!J64</f>
        <v>0</v>
      </c>
      <c r="K70" s="216">
        <f>info!K64</f>
        <v>0</v>
      </c>
    </row>
    <row r="71" spans="1:11" ht="79.5" hidden="1" customHeight="1" thickBot="1" x14ac:dyDescent="0.4">
      <c r="A71" s="145">
        <v>49</v>
      </c>
      <c r="B71" s="217">
        <f>info!B65</f>
        <v>0</v>
      </c>
      <c r="C71" s="214">
        <f>info!C65</f>
        <v>0</v>
      </c>
      <c r="D71" s="215">
        <f>info!D65</f>
        <v>0</v>
      </c>
      <c r="E71" s="215">
        <f>info!E65</f>
        <v>0</v>
      </c>
      <c r="F71" s="215">
        <f>info!F65</f>
        <v>0</v>
      </c>
      <c r="G71" s="216"/>
      <c r="H71" s="216"/>
      <c r="I71" s="216"/>
      <c r="J71" s="215">
        <f>info!J65</f>
        <v>0</v>
      </c>
      <c r="K71" s="216">
        <f>info!K65</f>
        <v>0</v>
      </c>
    </row>
    <row r="72" spans="1:11" ht="14.5" hidden="1" customHeight="1" thickBot="1" x14ac:dyDescent="0.4">
      <c r="A72" s="149"/>
      <c r="B72" s="217">
        <f>info!B66</f>
        <v>0</v>
      </c>
      <c r="C72" s="214">
        <f>info!C66</f>
        <v>0</v>
      </c>
      <c r="D72" s="215">
        <f>info!D66</f>
        <v>0</v>
      </c>
      <c r="E72" s="215">
        <f>info!E66</f>
        <v>0</v>
      </c>
      <c r="F72" s="215">
        <f>info!F66</f>
        <v>0</v>
      </c>
      <c r="G72" s="216"/>
      <c r="H72" s="216"/>
      <c r="I72" s="216"/>
      <c r="J72" s="215">
        <f>info!J66</f>
        <v>0</v>
      </c>
      <c r="K72" s="216">
        <f>info!K66</f>
        <v>0</v>
      </c>
    </row>
    <row r="73" spans="1:11" ht="34.5" hidden="1" customHeight="1" thickBot="1" x14ac:dyDescent="0.4">
      <c r="A73" s="149">
        <v>35</v>
      </c>
      <c r="B73" s="217">
        <f>info!B67</f>
        <v>0</v>
      </c>
      <c r="C73" s="214">
        <f>info!C67</f>
        <v>0</v>
      </c>
      <c r="D73" s="215">
        <f>info!D67</f>
        <v>0</v>
      </c>
      <c r="E73" s="215">
        <f>info!E67</f>
        <v>0</v>
      </c>
      <c r="F73" s="215">
        <f>info!F67</f>
        <v>0</v>
      </c>
      <c r="G73" s="216"/>
      <c r="H73" s="216"/>
      <c r="I73" s="216"/>
      <c r="J73" s="215">
        <f>info!J67</f>
        <v>0</v>
      </c>
      <c r="K73" s="216">
        <f>info!K67</f>
        <v>0</v>
      </c>
    </row>
    <row r="74" spans="1:11" ht="37.5" customHeight="1" thickBot="1" x14ac:dyDescent="0.45">
      <c r="A74" s="9"/>
      <c r="B74" s="160">
        <f>SUM(B8:B73)</f>
        <v>0</v>
      </c>
      <c r="C74" s="140"/>
      <c r="D74" s="24"/>
      <c r="E74" s="152"/>
      <c r="F74" s="152"/>
      <c r="G74" s="24"/>
      <c r="H74" s="24"/>
      <c r="I74" s="140"/>
      <c r="J74" s="140"/>
      <c r="K74" s="9"/>
    </row>
    <row r="76" spans="1:11" x14ac:dyDescent="0.35">
      <c r="B76" s="161" t="s">
        <v>29</v>
      </c>
      <c r="C76" s="161"/>
      <c r="D76" s="141"/>
      <c r="E76" s="161" t="s">
        <v>30</v>
      </c>
      <c r="F76" s="161"/>
      <c r="G76" s="161"/>
      <c r="H76" s="24"/>
      <c r="I76" s="24"/>
      <c r="J76" s="24"/>
      <c r="K76" s="25"/>
    </row>
    <row r="77" spans="1:11" x14ac:dyDescent="0.35">
      <c r="B77" s="151"/>
      <c r="C77" s="147"/>
      <c r="D77" s="141"/>
      <c r="E77" s="147"/>
      <c r="F77" s="153"/>
      <c r="G77" s="143"/>
      <c r="H77" s="24"/>
      <c r="I77" s="24"/>
      <c r="J77" s="24"/>
      <c r="K77" s="25"/>
    </row>
    <row r="78" spans="1:11" x14ac:dyDescent="0.35">
      <c r="B78" s="151"/>
      <c r="C78" s="147"/>
      <c r="D78" s="141"/>
      <c r="E78" s="147"/>
      <c r="F78" s="153"/>
      <c r="G78" s="143"/>
      <c r="H78" s="24"/>
      <c r="I78" s="24"/>
      <c r="J78" s="24"/>
      <c r="K78" s="25"/>
    </row>
    <row r="80" spans="1:11" x14ac:dyDescent="0.35">
      <c r="B80" s="162" t="s">
        <v>268</v>
      </c>
      <c r="C80" s="163"/>
      <c r="E80" s="162" t="s">
        <v>268</v>
      </c>
      <c r="F80" s="162"/>
      <c r="G80" s="162"/>
    </row>
    <row r="81" spans="2:7" x14ac:dyDescent="0.35">
      <c r="B81" s="164" t="s">
        <v>269</v>
      </c>
      <c r="C81" s="164"/>
      <c r="D81" s="142"/>
      <c r="E81" s="164" t="s">
        <v>269</v>
      </c>
      <c r="F81" s="164"/>
      <c r="G81" s="164"/>
    </row>
  </sheetData>
  <mergeCells count="13">
    <mergeCell ref="A1:B3"/>
    <mergeCell ref="C1:H1"/>
    <mergeCell ref="J1:K3"/>
    <mergeCell ref="C2:H3"/>
    <mergeCell ref="A5:B5"/>
    <mergeCell ref="G5:I5"/>
    <mergeCell ref="C5:E5"/>
    <mergeCell ref="B76:C76"/>
    <mergeCell ref="E76:G76"/>
    <mergeCell ref="B80:C80"/>
    <mergeCell ref="E80:G80"/>
    <mergeCell ref="B81:C81"/>
    <mergeCell ref="E81:G81"/>
  </mergeCells>
  <phoneticPr fontId="10" type="noConversion"/>
  <pageMargins left="0.23622047244094488" right="0.23622047244094488" top="0.74803149606299213" bottom="0.74803149606299213" header="0.51181102362204722" footer="0.31496062992125984"/>
  <pageSetup scale="51"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AA9F9-434C-4006-BBD1-A425EDB2BFF0}">
  <dimension ref="A1:K28"/>
  <sheetViews>
    <sheetView workbookViewId="0">
      <selection activeCell="J7" sqref="J7"/>
    </sheetView>
  </sheetViews>
  <sheetFormatPr baseColWidth="10" defaultRowHeight="14.5" x14ac:dyDescent="0.35"/>
  <cols>
    <col min="2" max="2" width="20.36328125" customWidth="1"/>
    <col min="3" max="3" width="21.1796875" customWidth="1"/>
    <col min="4" max="4" width="19.90625" customWidth="1"/>
    <col min="5" max="5" width="18" customWidth="1"/>
    <col min="6" max="6" width="20.6328125" customWidth="1"/>
    <col min="8" max="8" width="15.81640625" customWidth="1"/>
    <col min="10" max="10" width="40.1796875" customWidth="1"/>
    <col min="11" max="11" width="21.26953125" customWidth="1"/>
  </cols>
  <sheetData>
    <row r="1" spans="1:11" ht="53.5" customHeight="1" thickBot="1" x14ac:dyDescent="0.4">
      <c r="A1" s="155" t="s">
        <v>6</v>
      </c>
      <c r="B1" s="156" t="s">
        <v>7</v>
      </c>
      <c r="C1" s="157" t="s">
        <v>14</v>
      </c>
      <c r="D1" s="157" t="s">
        <v>265</v>
      </c>
      <c r="E1" s="157" t="s">
        <v>18</v>
      </c>
      <c r="F1" s="157" t="s">
        <v>266</v>
      </c>
      <c r="G1" s="158" t="s">
        <v>19</v>
      </c>
      <c r="H1" s="157" t="s">
        <v>20</v>
      </c>
      <c r="I1" s="158" t="s">
        <v>21</v>
      </c>
      <c r="J1" s="158" t="s">
        <v>22</v>
      </c>
      <c r="K1" s="159" t="s">
        <v>267</v>
      </c>
    </row>
    <row r="2" spans="1:11" ht="98" customHeight="1" x14ac:dyDescent="0.35">
      <c r="A2" s="204"/>
      <c r="B2" s="205"/>
      <c r="C2" s="206"/>
      <c r="D2" s="207"/>
      <c r="E2" s="208"/>
      <c r="F2" s="209"/>
      <c r="G2" s="210"/>
      <c r="H2" s="210"/>
      <c r="I2" s="210"/>
      <c r="J2" s="211"/>
      <c r="K2" s="212"/>
    </row>
    <row r="3" spans="1:11" x14ac:dyDescent="0.35">
      <c r="A3" s="204"/>
      <c r="B3" s="205"/>
      <c r="C3" s="206"/>
      <c r="D3" s="207"/>
      <c r="E3" s="208"/>
      <c r="F3" s="209"/>
      <c r="G3" s="210"/>
      <c r="H3" s="210"/>
      <c r="I3" s="210"/>
      <c r="J3" s="211"/>
      <c r="K3" s="212"/>
    </row>
    <row r="4" spans="1:11" x14ac:dyDescent="0.35">
      <c r="A4" s="204"/>
      <c r="B4" s="205"/>
      <c r="C4" s="206"/>
      <c r="D4" s="207"/>
      <c r="E4" s="208"/>
      <c r="F4" s="209"/>
      <c r="G4" s="210"/>
      <c r="H4" s="210"/>
      <c r="I4" s="210"/>
      <c r="J4" s="211"/>
      <c r="K4" s="212"/>
    </row>
    <row r="5" spans="1:11" x14ac:dyDescent="0.35">
      <c r="A5" s="204"/>
      <c r="B5" s="205"/>
      <c r="C5" s="206"/>
      <c r="D5" s="207"/>
      <c r="E5" s="208"/>
      <c r="F5" s="209"/>
      <c r="G5" s="210"/>
      <c r="H5" s="210"/>
      <c r="I5" s="210"/>
      <c r="J5" s="211"/>
      <c r="K5" s="212"/>
    </row>
    <row r="6" spans="1:11" x14ac:dyDescent="0.35">
      <c r="A6" s="204"/>
      <c r="B6" s="205"/>
      <c r="C6" s="206"/>
      <c r="D6" s="207"/>
      <c r="E6" s="208"/>
      <c r="F6" s="209"/>
      <c r="G6" s="210"/>
      <c r="H6" s="210"/>
      <c r="I6" s="210"/>
      <c r="J6" s="211"/>
      <c r="K6" s="212"/>
    </row>
    <row r="7" spans="1:11" x14ac:dyDescent="0.35">
      <c r="A7" s="204"/>
      <c r="B7" s="205"/>
      <c r="C7" s="206"/>
      <c r="D7" s="207"/>
      <c r="E7" s="208"/>
      <c r="F7" s="209"/>
      <c r="G7" s="210"/>
      <c r="H7" s="210"/>
      <c r="I7" s="210"/>
      <c r="J7" s="218"/>
      <c r="K7" s="212"/>
    </row>
    <row r="8" spans="1:11" x14ac:dyDescent="0.35">
      <c r="A8" s="204"/>
      <c r="B8" s="205"/>
      <c r="C8" s="206"/>
      <c r="D8" s="207"/>
      <c r="E8" s="208"/>
      <c r="F8" s="209"/>
      <c r="G8" s="210"/>
      <c r="H8" s="210"/>
      <c r="I8" s="210"/>
      <c r="J8" s="211"/>
      <c r="K8" s="212"/>
    </row>
    <row r="9" spans="1:11" x14ac:dyDescent="0.35">
      <c r="A9" s="204"/>
      <c r="B9" s="205"/>
      <c r="C9" s="206"/>
      <c r="D9" s="207"/>
      <c r="E9" s="208"/>
      <c r="F9" s="209"/>
      <c r="G9" s="210"/>
      <c r="H9" s="210"/>
      <c r="I9" s="210"/>
      <c r="J9" s="211"/>
      <c r="K9" s="212"/>
    </row>
    <row r="10" spans="1:11" x14ac:dyDescent="0.35">
      <c r="A10" s="204"/>
      <c r="B10" s="205"/>
      <c r="C10" s="206"/>
      <c r="D10" s="207"/>
      <c r="E10" s="208"/>
      <c r="F10" s="209"/>
      <c r="G10" s="210"/>
      <c r="H10" s="210"/>
      <c r="I10" s="210"/>
      <c r="J10" s="211"/>
      <c r="K10" s="212"/>
    </row>
    <row r="11" spans="1:11" x14ac:dyDescent="0.35">
      <c r="A11" s="204"/>
      <c r="B11" s="205"/>
      <c r="C11" s="206"/>
      <c r="D11" s="207"/>
      <c r="E11" s="208"/>
      <c r="F11" s="209"/>
      <c r="G11" s="210"/>
      <c r="H11" s="210"/>
      <c r="I11" s="210"/>
      <c r="J11" s="211"/>
      <c r="K11" s="212"/>
    </row>
    <row r="12" spans="1:11" x14ac:dyDescent="0.35">
      <c r="A12" s="204"/>
      <c r="B12" s="205"/>
      <c r="C12" s="206"/>
      <c r="D12" s="207"/>
      <c r="E12" s="208"/>
      <c r="F12" s="209"/>
      <c r="G12" s="210"/>
      <c r="H12" s="210"/>
      <c r="I12" s="210"/>
      <c r="J12" s="211"/>
      <c r="K12" s="212"/>
    </row>
    <row r="13" spans="1:11" x14ac:dyDescent="0.35">
      <c r="A13" s="204"/>
      <c r="B13" s="205"/>
      <c r="C13" s="206"/>
      <c r="D13" s="207"/>
      <c r="E13" s="208"/>
      <c r="F13" s="209"/>
      <c r="G13" s="210"/>
      <c r="H13" s="210"/>
      <c r="I13" s="210"/>
      <c r="J13" s="211"/>
      <c r="K13" s="212"/>
    </row>
    <row r="14" spans="1:11" x14ac:dyDescent="0.35">
      <c r="A14" s="204"/>
      <c r="B14" s="205"/>
      <c r="C14" s="206"/>
      <c r="D14" s="207"/>
      <c r="E14" s="208"/>
      <c r="F14" s="209"/>
      <c r="G14" s="210"/>
      <c r="H14" s="210"/>
      <c r="I14" s="210"/>
      <c r="J14" s="211"/>
      <c r="K14" s="212"/>
    </row>
    <row r="15" spans="1:11" x14ac:dyDescent="0.35">
      <c r="A15" s="204"/>
      <c r="B15" s="205"/>
      <c r="C15" s="206"/>
      <c r="D15" s="207"/>
      <c r="E15" s="208"/>
      <c r="F15" s="209"/>
      <c r="G15" s="210"/>
      <c r="H15" s="210"/>
      <c r="I15" s="210"/>
      <c r="J15" s="211"/>
      <c r="K15" s="212"/>
    </row>
    <row r="16" spans="1:11" x14ac:dyDescent="0.35">
      <c r="A16" s="204"/>
      <c r="B16" s="205"/>
      <c r="C16" s="206"/>
      <c r="D16" s="207"/>
      <c r="E16" s="208"/>
      <c r="F16" s="209"/>
      <c r="G16" s="210"/>
      <c r="H16" s="210"/>
      <c r="I16" s="210"/>
      <c r="J16" s="211"/>
      <c r="K16" s="212"/>
    </row>
    <row r="17" spans="1:11" x14ac:dyDescent="0.35">
      <c r="A17" s="204"/>
      <c r="B17" s="205"/>
      <c r="C17" s="206"/>
      <c r="D17" s="207"/>
      <c r="E17" s="208"/>
      <c r="F17" s="209"/>
      <c r="G17" s="210"/>
      <c r="H17" s="210"/>
      <c r="I17" s="210"/>
      <c r="J17" s="211"/>
      <c r="K17" s="212"/>
    </row>
    <row r="18" spans="1:11" x14ac:dyDescent="0.35">
      <c r="A18" s="204"/>
      <c r="B18" s="205"/>
      <c r="C18" s="206"/>
      <c r="D18" s="207"/>
      <c r="E18" s="208"/>
      <c r="F18" s="209"/>
      <c r="G18" s="210"/>
      <c r="H18" s="210"/>
      <c r="I18" s="210"/>
      <c r="J18" s="211"/>
      <c r="K18" s="212"/>
    </row>
    <row r="19" spans="1:11" x14ac:dyDescent="0.35">
      <c r="A19" s="204"/>
      <c r="B19" s="205"/>
      <c r="C19" s="206"/>
      <c r="D19" s="207"/>
      <c r="E19" s="208"/>
      <c r="F19" s="209"/>
      <c r="G19" s="210"/>
      <c r="H19" s="210"/>
      <c r="I19" s="210"/>
      <c r="J19" s="211"/>
      <c r="K19" s="212"/>
    </row>
    <row r="20" spans="1:11" x14ac:dyDescent="0.35">
      <c r="A20" s="204"/>
      <c r="B20" s="205"/>
      <c r="C20" s="206"/>
      <c r="D20" s="207"/>
      <c r="E20" s="208"/>
      <c r="F20" s="209"/>
      <c r="G20" s="210"/>
      <c r="H20" s="210"/>
      <c r="I20" s="210"/>
      <c r="J20" s="211"/>
      <c r="K20" s="212"/>
    </row>
    <row r="21" spans="1:11" x14ac:dyDescent="0.35">
      <c r="A21" s="204"/>
      <c r="B21" s="205"/>
      <c r="C21" s="206"/>
      <c r="D21" s="207"/>
      <c r="E21" s="208"/>
      <c r="F21" s="209"/>
      <c r="G21" s="210"/>
      <c r="H21" s="210"/>
      <c r="I21" s="210"/>
      <c r="J21" s="211"/>
      <c r="K21" s="212"/>
    </row>
    <row r="22" spans="1:11" x14ac:dyDescent="0.35">
      <c r="A22" s="204"/>
      <c r="B22" s="205"/>
      <c r="C22" s="206"/>
      <c r="D22" s="207"/>
      <c r="E22" s="208"/>
      <c r="F22" s="209"/>
      <c r="G22" s="210"/>
      <c r="H22" s="210"/>
      <c r="I22" s="210"/>
      <c r="J22" s="211"/>
      <c r="K22" s="212"/>
    </row>
    <row r="23" spans="1:11" x14ac:dyDescent="0.35">
      <c r="A23" s="204"/>
      <c r="B23" s="205"/>
      <c r="C23" s="206"/>
      <c r="D23" s="207"/>
      <c r="E23" s="208"/>
      <c r="F23" s="209"/>
      <c r="G23" s="210"/>
      <c r="H23" s="210"/>
      <c r="I23" s="210"/>
      <c r="J23" s="211"/>
      <c r="K23" s="212"/>
    </row>
    <row r="24" spans="1:11" x14ac:dyDescent="0.35">
      <c r="A24" s="204"/>
      <c r="B24" s="205"/>
      <c r="C24" s="206"/>
      <c r="D24" s="207"/>
      <c r="E24" s="208"/>
      <c r="F24" s="209"/>
      <c r="G24" s="210"/>
      <c r="H24" s="210"/>
      <c r="I24" s="210"/>
      <c r="J24" s="211"/>
      <c r="K24" s="212"/>
    </row>
    <row r="25" spans="1:11" x14ac:dyDescent="0.35">
      <c r="A25" s="204"/>
      <c r="B25" s="205"/>
      <c r="C25" s="206"/>
      <c r="D25" s="207"/>
      <c r="E25" s="208"/>
      <c r="F25" s="209"/>
      <c r="G25" s="210"/>
      <c r="H25" s="210"/>
      <c r="I25" s="210"/>
      <c r="J25" s="211"/>
      <c r="K25" s="212"/>
    </row>
    <row r="26" spans="1:11" x14ac:dyDescent="0.35">
      <c r="A26" s="204"/>
      <c r="B26" s="205"/>
      <c r="C26" s="206"/>
      <c r="D26" s="207"/>
      <c r="E26" s="208"/>
      <c r="F26" s="209"/>
      <c r="G26" s="210"/>
      <c r="H26" s="210"/>
      <c r="I26" s="210"/>
      <c r="J26" s="211"/>
      <c r="K26" s="212"/>
    </row>
    <row r="27" spans="1:11" x14ac:dyDescent="0.35">
      <c r="A27" s="204"/>
      <c r="B27" s="205"/>
      <c r="C27" s="206"/>
      <c r="D27" s="207"/>
      <c r="E27" s="208"/>
      <c r="F27" s="209"/>
      <c r="G27" s="210"/>
      <c r="H27" s="210"/>
      <c r="I27" s="210"/>
      <c r="J27" s="211"/>
      <c r="K27" s="212"/>
    </row>
    <row r="28" spans="1:11" x14ac:dyDescent="0.35">
      <c r="A28" s="204"/>
    </row>
  </sheetData>
  <phoneticPr fontId="10" type="noConversion"/>
  <conditionalFormatting sqref="C2:C27">
    <cfRule type="duplicateValues" dxfId="26" priority="1"/>
    <cfRule type="duplicateValues" dxfId="25" priority="2"/>
    <cfRule type="duplicateValues" dxfId="24" priority="3"/>
  </conditionalFormatting>
  <conditionalFormatting sqref="E2:E27">
    <cfRule type="duplicateValues" dxfId="23" priority="4"/>
    <cfRule type="duplicateValues" dxfId="22" priority="5"/>
    <cfRule type="duplicateValues" dxfId="21" priority="6"/>
  </conditionalFormatting>
  <conditionalFormatting sqref="F2:F27">
    <cfRule type="duplicateValues" dxfId="20" priority="7"/>
    <cfRule type="duplicateValues" dxfId="19" priority="8"/>
    <cfRule type="duplicateValues" dxfId="18" priority="9"/>
  </conditionalFormatting>
  <conditionalFormatting sqref="G2:I27">
    <cfRule type="duplicateValues" dxfId="17" priority="10"/>
    <cfRule type="duplicateValues" dxfId="16" priority="11"/>
    <cfRule type="duplicateValues" dxfId="15" priority="12"/>
  </conditionalFormatting>
  <conditionalFormatting sqref="J2:J27">
    <cfRule type="duplicateValues" dxfId="14" priority="13"/>
    <cfRule type="duplicateValues" dxfId="13" priority="14"/>
    <cfRule type="duplicateValues" dxfId="12" priority="15"/>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864D1-CA9C-4B58-8EE0-5AAECFE1651B}">
  <sheetPr filterMode="1">
    <tabColor rgb="FFFF0000"/>
    <pageSetUpPr fitToPage="1"/>
  </sheetPr>
  <dimension ref="A1:AMJ73"/>
  <sheetViews>
    <sheetView topLeftCell="B1" zoomScale="80" zoomScaleNormal="80" zoomScaleSheetLayoutView="80" workbookViewId="0">
      <pane ySplit="6" topLeftCell="A11" activePane="bottomLeft" state="frozen"/>
      <selection activeCell="C1" sqref="C1"/>
      <selection pane="bottomLeft" activeCell="B12" sqref="B12"/>
    </sheetView>
  </sheetViews>
  <sheetFormatPr baseColWidth="10" defaultColWidth="7.7265625" defaultRowHeight="13.5" x14ac:dyDescent="0.25"/>
  <cols>
    <col min="1" max="1" width="3.453125" style="13" hidden="1" customWidth="1"/>
    <col min="2" max="2" width="20.1796875" style="13" customWidth="1" collapsed="1"/>
    <col min="3" max="6" width="2.7265625" style="13" hidden="1" customWidth="1" collapsed="1"/>
    <col min="7" max="7" width="3.26953125" style="13" hidden="1" customWidth="1" collapsed="1"/>
    <col min="8" max="8" width="3.26953125" style="14" hidden="1" customWidth="1"/>
    <col min="9" max="9" width="22.7265625" style="58" customWidth="1" collapsed="1"/>
    <col min="10" max="10" width="16.81640625" style="123" customWidth="1" collapsed="1"/>
    <col min="11" max="11" width="7.453125" style="15" hidden="1" customWidth="1" collapsed="1"/>
    <col min="12" max="12" width="16.26953125" style="16" customWidth="1" collapsed="1"/>
    <col min="13" max="13" width="29.26953125" style="17" customWidth="1" collapsed="1"/>
    <col min="14" max="14" width="20.81640625" style="13" customWidth="1" collapsed="1"/>
    <col min="15" max="15" width="15.1796875" style="13" customWidth="1" collapsed="1"/>
    <col min="16" max="16" width="20" style="13" customWidth="1" collapsed="1"/>
    <col min="17" max="17" width="51.54296875" style="106" customWidth="1" collapsed="1"/>
    <col min="18" max="18" width="1.54296875" style="12" customWidth="1" collapsed="1"/>
    <col min="19" max="19" width="18.26953125" style="12" customWidth="1" collapsed="1"/>
    <col min="20" max="20" width="27.1796875" style="13" customWidth="1"/>
    <col min="21" max="1024" width="7.7265625" style="13"/>
    <col min="1025" max="16384" width="7.7265625" style="13" collapsed="1"/>
  </cols>
  <sheetData>
    <row r="1" spans="1:19" s="18" customFormat="1" ht="12" customHeight="1" x14ac:dyDescent="0.35">
      <c r="A1" s="188"/>
      <c r="B1" s="189"/>
      <c r="C1" s="189"/>
      <c r="D1" s="192"/>
      <c r="E1" s="192"/>
      <c r="F1" s="192"/>
      <c r="G1" s="192"/>
      <c r="H1" s="192"/>
      <c r="I1" s="192"/>
      <c r="J1" s="192"/>
      <c r="K1" s="192"/>
      <c r="L1" s="192"/>
      <c r="M1" s="192"/>
      <c r="N1" s="192"/>
      <c r="O1" s="192"/>
      <c r="P1" s="37" t="s">
        <v>24</v>
      </c>
      <c r="Q1" s="193"/>
      <c r="R1" s="38"/>
      <c r="S1" s="39"/>
    </row>
    <row r="2" spans="1:19" s="18" customFormat="1" ht="18.75" customHeight="1" x14ac:dyDescent="0.35">
      <c r="A2" s="190"/>
      <c r="B2" s="191"/>
      <c r="C2" s="191"/>
      <c r="D2" s="195" t="s">
        <v>0</v>
      </c>
      <c r="E2" s="195"/>
      <c r="F2" s="195"/>
      <c r="G2" s="195"/>
      <c r="H2" s="195"/>
      <c r="I2" s="195"/>
      <c r="J2" s="195"/>
      <c r="K2" s="195"/>
      <c r="L2" s="195"/>
      <c r="M2" s="195"/>
      <c r="N2" s="195"/>
      <c r="O2" s="195"/>
      <c r="P2" s="10" t="s">
        <v>25</v>
      </c>
      <c r="Q2" s="194"/>
      <c r="R2" s="20"/>
      <c r="S2" s="40"/>
    </row>
    <row r="3" spans="1:19" s="18" customFormat="1" ht="7.5" customHeight="1" x14ac:dyDescent="0.35">
      <c r="A3" s="190"/>
      <c r="B3" s="191"/>
      <c r="C3" s="191"/>
      <c r="D3" s="195"/>
      <c r="E3" s="195"/>
      <c r="F3" s="195"/>
      <c r="G3" s="195"/>
      <c r="H3" s="195"/>
      <c r="I3" s="195"/>
      <c r="J3" s="195"/>
      <c r="K3" s="195"/>
      <c r="L3" s="195"/>
      <c r="M3" s="195"/>
      <c r="N3" s="195"/>
      <c r="O3" s="195"/>
      <c r="P3" s="10" t="s">
        <v>26</v>
      </c>
      <c r="Q3" s="194"/>
      <c r="R3" s="20"/>
      <c r="S3" s="40"/>
    </row>
    <row r="4" spans="1:19" s="18" customFormat="1" ht="6.75" customHeight="1" thickBot="1" x14ac:dyDescent="0.4">
      <c r="A4" s="41"/>
      <c r="B4" s="9"/>
      <c r="C4" s="9"/>
      <c r="D4" s="9"/>
      <c r="E4" s="9"/>
      <c r="F4" s="8"/>
      <c r="G4" s="8"/>
      <c r="H4" s="42"/>
      <c r="I4" s="57"/>
      <c r="J4" s="116"/>
      <c r="K4" s="44"/>
      <c r="L4" s="45"/>
      <c r="M4" s="46"/>
      <c r="N4" s="47"/>
      <c r="O4" s="47"/>
      <c r="P4" s="47"/>
      <c r="Q4" s="48"/>
      <c r="R4" s="20"/>
      <c r="S4" s="40"/>
    </row>
    <row r="5" spans="1:19" s="19" customFormat="1" ht="36" customHeight="1" thickBot="1" x14ac:dyDescent="0.3">
      <c r="A5" s="196" t="s">
        <v>1</v>
      </c>
      <c r="B5" s="196"/>
      <c r="C5" s="197" t="s">
        <v>157</v>
      </c>
      <c r="D5" s="197"/>
      <c r="E5" s="197"/>
      <c r="F5" s="197"/>
      <c r="G5" s="197"/>
      <c r="H5" s="197"/>
      <c r="I5" s="197"/>
      <c r="J5" s="203" t="s">
        <v>2</v>
      </c>
      <c r="K5" s="203"/>
      <c r="L5" s="22" t="s">
        <v>3</v>
      </c>
      <c r="M5" s="21" t="s">
        <v>27</v>
      </c>
      <c r="N5" s="23" t="s">
        <v>4</v>
      </c>
      <c r="O5" s="200" t="s">
        <v>5</v>
      </c>
      <c r="P5" s="200"/>
      <c r="Q5" s="111" t="s">
        <v>28</v>
      </c>
      <c r="R5" s="49"/>
      <c r="S5" s="50"/>
    </row>
    <row r="6" spans="1:19" ht="64.5" customHeight="1" x14ac:dyDescent="0.25">
      <c r="A6" s="2" t="s">
        <v>6</v>
      </c>
      <c r="B6" s="51" t="s">
        <v>7</v>
      </c>
      <c r="C6" s="52" t="s">
        <v>8</v>
      </c>
      <c r="D6" s="53" t="s">
        <v>9</v>
      </c>
      <c r="E6" s="53" t="s">
        <v>10</v>
      </c>
      <c r="F6" s="53" t="s">
        <v>11</v>
      </c>
      <c r="G6" s="53" t="s">
        <v>12</v>
      </c>
      <c r="H6" s="52" t="s">
        <v>13</v>
      </c>
      <c r="I6" s="52" t="s">
        <v>14</v>
      </c>
      <c r="J6" s="117" t="s">
        <v>15</v>
      </c>
      <c r="K6" s="52" t="s">
        <v>16</v>
      </c>
      <c r="L6" s="54" t="s">
        <v>18</v>
      </c>
      <c r="M6" s="52" t="s">
        <v>17</v>
      </c>
      <c r="N6" s="52" t="s">
        <v>19</v>
      </c>
      <c r="O6" s="52" t="s">
        <v>20</v>
      </c>
      <c r="P6" s="52" t="s">
        <v>21</v>
      </c>
      <c r="Q6" s="112" t="s">
        <v>22</v>
      </c>
      <c r="S6" s="34" t="s">
        <v>23</v>
      </c>
    </row>
    <row r="7" spans="1:19" s="60" customFormat="1" ht="67.5" x14ac:dyDescent="0.25">
      <c r="A7" s="63"/>
      <c r="B7" s="73">
        <f>3589197+654441</f>
        <v>4243638</v>
      </c>
      <c r="C7" s="74"/>
      <c r="D7" s="66"/>
      <c r="E7" s="66"/>
      <c r="F7" s="66"/>
      <c r="G7" s="66"/>
      <c r="H7" s="67"/>
      <c r="I7" s="68" t="s">
        <v>158</v>
      </c>
      <c r="J7" s="118">
        <v>23359505</v>
      </c>
      <c r="K7" s="69"/>
      <c r="L7" s="35">
        <v>830504013</v>
      </c>
      <c r="M7" s="36" t="e">
        <f>VLOOKUP(L7,#REF!,2,0)</f>
        <v>#REF!</v>
      </c>
      <c r="N7" s="70" t="e">
        <f>VLOOKUP(L7,#REF!,3,0)</f>
        <v>#REF!</v>
      </c>
      <c r="O7" s="70" t="e">
        <f>VLOOKUP(L7,#REF!,4,0)</f>
        <v>#REF!</v>
      </c>
      <c r="P7" s="70" t="e">
        <f>VLOOKUP(L7,#REF!,5,0)</f>
        <v>#REF!</v>
      </c>
      <c r="Q7" s="103" t="s">
        <v>257</v>
      </c>
      <c r="S7" s="93" t="s">
        <v>256</v>
      </c>
    </row>
    <row r="8" spans="1:19" s="60" customFormat="1" ht="40.5" x14ac:dyDescent="0.25">
      <c r="A8" s="76"/>
      <c r="B8" s="73">
        <v>603800</v>
      </c>
      <c r="C8" s="74"/>
      <c r="D8" s="77"/>
      <c r="E8" s="77"/>
      <c r="F8" s="77"/>
      <c r="G8" s="77"/>
      <c r="H8" s="78"/>
      <c r="I8" s="68" t="s">
        <v>161</v>
      </c>
      <c r="J8" s="118">
        <v>23359505</v>
      </c>
      <c r="K8" s="69"/>
      <c r="L8" s="35">
        <v>891500182</v>
      </c>
      <c r="M8" s="36" t="e">
        <f>VLOOKUP(L8,#REF!,2,0)</f>
        <v>#REF!</v>
      </c>
      <c r="N8" s="70" t="e">
        <f>VLOOKUP(L8,#REF!,3,0)</f>
        <v>#REF!</v>
      </c>
      <c r="O8" s="70" t="e">
        <f>VLOOKUP(L8,#REF!,4,0)</f>
        <v>#REF!</v>
      </c>
      <c r="P8" s="70" t="e">
        <f>VLOOKUP(L8,#REF!,5,0)</f>
        <v>#REF!</v>
      </c>
      <c r="Q8" s="103" t="s">
        <v>159</v>
      </c>
      <c r="S8" s="93" t="s">
        <v>160</v>
      </c>
    </row>
    <row r="9" spans="1:19" s="60" customFormat="1" ht="54" x14ac:dyDescent="0.25">
      <c r="A9" s="63"/>
      <c r="B9" s="73">
        <v>974709</v>
      </c>
      <c r="C9" s="74"/>
      <c r="D9" s="66"/>
      <c r="E9" s="66"/>
      <c r="F9" s="66"/>
      <c r="G9" s="66"/>
      <c r="H9" s="67"/>
      <c r="I9" s="68" t="s">
        <v>164</v>
      </c>
      <c r="J9" s="118">
        <v>23359505</v>
      </c>
      <c r="K9" s="69"/>
      <c r="L9" s="35">
        <v>805019778</v>
      </c>
      <c r="M9" s="36" t="e">
        <f>VLOOKUP(L9,#REF!,2,0)</f>
        <v>#REF!</v>
      </c>
      <c r="N9" s="70" t="e">
        <f>VLOOKUP(L9,#REF!,3,0)</f>
        <v>#REF!</v>
      </c>
      <c r="O9" s="70" t="e">
        <f>VLOOKUP(L9,#REF!,4,0)</f>
        <v>#REF!</v>
      </c>
      <c r="P9" s="70" t="e">
        <f>VLOOKUP(L9,#REF!,5,0)</f>
        <v>#REF!</v>
      </c>
      <c r="Q9" s="103" t="s">
        <v>162</v>
      </c>
      <c r="S9" s="93" t="s">
        <v>163</v>
      </c>
    </row>
    <row r="10" spans="1:19" s="60" customFormat="1" ht="81" x14ac:dyDescent="0.25">
      <c r="A10" s="63"/>
      <c r="B10" s="73">
        <f>469200+533300</f>
        <v>1002500</v>
      </c>
      <c r="C10" s="74"/>
      <c r="D10" s="66"/>
      <c r="E10" s="66"/>
      <c r="F10" s="66"/>
      <c r="G10" s="66"/>
      <c r="H10" s="67"/>
      <c r="I10" s="68" t="s">
        <v>193</v>
      </c>
      <c r="J10" s="69">
        <v>23359505</v>
      </c>
      <c r="K10" s="69"/>
      <c r="L10" s="35">
        <v>94062784</v>
      </c>
      <c r="M10" s="36" t="e">
        <f>VLOOKUP(L10,#REF!,2,0)</f>
        <v>#REF!</v>
      </c>
      <c r="N10" s="70" t="e">
        <f>VLOOKUP(L10,#REF!,3,0)</f>
        <v>#REF!</v>
      </c>
      <c r="O10" s="70" t="e">
        <f>VLOOKUP(L10,#REF!,4,0)</f>
        <v>#REF!</v>
      </c>
      <c r="P10" s="70" t="e">
        <f>VLOOKUP(L10,#REF!,5,0)</f>
        <v>#REF!</v>
      </c>
      <c r="Q10" s="109" t="s">
        <v>194</v>
      </c>
      <c r="S10" s="93" t="s">
        <v>192</v>
      </c>
    </row>
    <row r="11" spans="1:19" s="71" customFormat="1" ht="54" x14ac:dyDescent="0.25">
      <c r="A11" s="63"/>
      <c r="B11" s="110">
        <v>5646921</v>
      </c>
      <c r="C11" s="65"/>
      <c r="D11" s="66"/>
      <c r="E11" s="66"/>
      <c r="F11" s="66"/>
      <c r="G11" s="66"/>
      <c r="H11" s="67"/>
      <c r="I11" s="68" t="s">
        <v>167</v>
      </c>
      <c r="J11" s="69">
        <v>23359505</v>
      </c>
      <c r="K11" s="69"/>
      <c r="L11" s="35">
        <v>901040914</v>
      </c>
      <c r="M11" s="36" t="e">
        <f>VLOOKUP(L11,#REF!,2,0)</f>
        <v>#REF!</v>
      </c>
      <c r="N11" s="70" t="e">
        <f>VLOOKUP(L11,#REF!,3,0)</f>
        <v>#REF!</v>
      </c>
      <c r="O11" s="70" t="e">
        <f>VLOOKUP(L11,#REF!,4,0)</f>
        <v>#REF!</v>
      </c>
      <c r="P11" s="70" t="e">
        <f>VLOOKUP(L11,#REF!,5,0)</f>
        <v>#REF!</v>
      </c>
      <c r="Q11" s="103" t="s">
        <v>165</v>
      </c>
      <c r="S11" s="93" t="s">
        <v>166</v>
      </c>
    </row>
    <row r="12" spans="1:19" s="71" customFormat="1" ht="108" x14ac:dyDescent="0.25">
      <c r="A12" s="63"/>
      <c r="B12" s="138">
        <f>322000+230000</f>
        <v>552000</v>
      </c>
      <c r="C12" s="65"/>
      <c r="D12" s="66"/>
      <c r="E12" s="66"/>
      <c r="F12" s="66"/>
      <c r="G12" s="66"/>
      <c r="H12" s="67"/>
      <c r="I12" s="68" t="s">
        <v>176</v>
      </c>
      <c r="J12" s="69">
        <v>23359505</v>
      </c>
      <c r="K12" s="69"/>
      <c r="L12" s="35">
        <v>900297803</v>
      </c>
      <c r="M12" s="36" t="e">
        <f>VLOOKUP(L12,#REF!,2,0)</f>
        <v>#REF!</v>
      </c>
      <c r="N12" s="70" t="e">
        <f>VLOOKUP(L12,#REF!,3,0)</f>
        <v>#REF!</v>
      </c>
      <c r="O12" s="70" t="e">
        <f>VLOOKUP(L12,#REF!,4,0)</f>
        <v>#REF!</v>
      </c>
      <c r="P12" s="70" t="e">
        <f>VLOOKUP(L12,#REF!,5,0)</f>
        <v>#REF!</v>
      </c>
      <c r="Q12" s="103" t="s">
        <v>174</v>
      </c>
      <c r="S12" s="93" t="s">
        <v>175</v>
      </c>
    </row>
    <row r="13" spans="1:19" s="71" customFormat="1" ht="40.5" x14ac:dyDescent="0.25">
      <c r="A13" s="63"/>
      <c r="B13" s="64">
        <v>1335006</v>
      </c>
      <c r="C13" s="65"/>
      <c r="D13" s="66"/>
      <c r="E13" s="66"/>
      <c r="F13" s="66"/>
      <c r="G13" s="66"/>
      <c r="H13" s="67"/>
      <c r="I13" s="68" t="s">
        <v>170</v>
      </c>
      <c r="J13" s="69">
        <v>23359505</v>
      </c>
      <c r="K13" s="69"/>
      <c r="L13" s="35">
        <v>890321156</v>
      </c>
      <c r="M13" s="36" t="e">
        <f>VLOOKUP(L13,#REF!,2,0)</f>
        <v>#REF!</v>
      </c>
      <c r="N13" s="70" t="e">
        <f>VLOOKUP(L13,#REF!,3,0)</f>
        <v>#REF!</v>
      </c>
      <c r="O13" s="70" t="e">
        <f>VLOOKUP(L13,#REF!,4,0)</f>
        <v>#REF!</v>
      </c>
      <c r="P13" s="70" t="e">
        <f>VLOOKUP(L13,#REF!,5,0)</f>
        <v>#REF!</v>
      </c>
      <c r="Q13" s="103" t="s">
        <v>168</v>
      </c>
      <c r="S13" s="93" t="s">
        <v>169</v>
      </c>
    </row>
    <row r="14" spans="1:19" s="71" customFormat="1" ht="40.5" x14ac:dyDescent="0.25">
      <c r="A14" s="63"/>
      <c r="B14" s="138">
        <v>114000</v>
      </c>
      <c r="C14" s="65"/>
      <c r="D14" s="66"/>
      <c r="E14" s="66"/>
      <c r="F14" s="66"/>
      <c r="G14" s="66"/>
      <c r="H14" s="67"/>
      <c r="I14" s="68" t="s">
        <v>173</v>
      </c>
      <c r="J14" s="69">
        <v>23359505</v>
      </c>
      <c r="K14" s="69"/>
      <c r="L14" s="35">
        <v>830512127</v>
      </c>
      <c r="M14" s="36" t="e">
        <f>VLOOKUP(L14,#REF!,2,0)</f>
        <v>#REF!</v>
      </c>
      <c r="N14" s="70" t="e">
        <f>VLOOKUP(L14,#REF!,3,0)</f>
        <v>#REF!</v>
      </c>
      <c r="O14" s="70" t="e">
        <f>VLOOKUP(L14,#REF!,4,0)</f>
        <v>#REF!</v>
      </c>
      <c r="P14" s="70" t="e">
        <f>VLOOKUP(L14,#REF!,5,0)</f>
        <v>#REF!</v>
      </c>
      <c r="Q14" s="103" t="s">
        <v>171</v>
      </c>
      <c r="S14" s="93" t="s">
        <v>172</v>
      </c>
    </row>
    <row r="15" spans="1:19" s="71" customFormat="1" ht="67.5" x14ac:dyDescent="0.25">
      <c r="A15" s="63"/>
      <c r="B15" s="138">
        <f>764100+68000</f>
        <v>832100</v>
      </c>
      <c r="C15" s="65"/>
      <c r="D15" s="66"/>
      <c r="E15" s="66"/>
      <c r="F15" s="66"/>
      <c r="G15" s="66"/>
      <c r="H15" s="67"/>
      <c r="I15" s="68" t="s">
        <v>190</v>
      </c>
      <c r="J15" s="69">
        <v>23359505</v>
      </c>
      <c r="K15" s="69"/>
      <c r="L15" s="35">
        <v>901285199</v>
      </c>
      <c r="M15" s="36" t="e">
        <f>VLOOKUP(L15,#REF!,2,0)</f>
        <v>#REF!</v>
      </c>
      <c r="N15" s="70" t="e">
        <f>VLOOKUP(L15,#REF!,3,0)</f>
        <v>#REF!</v>
      </c>
      <c r="O15" s="70" t="e">
        <f>VLOOKUP(L15,#REF!,4,0)</f>
        <v>#REF!</v>
      </c>
      <c r="P15" s="70" t="e">
        <f>VLOOKUP(L15,#REF!,5,0)</f>
        <v>#REF!</v>
      </c>
      <c r="Q15" s="103" t="s">
        <v>191</v>
      </c>
      <c r="S15" s="93" t="s">
        <v>189</v>
      </c>
    </row>
    <row r="16" spans="1:19" s="71" customFormat="1" ht="27" x14ac:dyDescent="0.25">
      <c r="A16" s="63"/>
      <c r="B16" s="138">
        <v>89000</v>
      </c>
      <c r="C16" s="65"/>
      <c r="D16" s="66"/>
      <c r="E16" s="66"/>
      <c r="F16" s="66"/>
      <c r="G16" s="66"/>
      <c r="H16" s="67"/>
      <c r="I16" s="68" t="s">
        <v>179</v>
      </c>
      <c r="J16" s="69">
        <v>23359505</v>
      </c>
      <c r="K16" s="69"/>
      <c r="L16" s="35">
        <v>29598589</v>
      </c>
      <c r="M16" s="36" t="e">
        <f>VLOOKUP(L16,#REF!,2,0)</f>
        <v>#REF!</v>
      </c>
      <c r="N16" s="70" t="e">
        <f>VLOOKUP(L16,#REF!,3,0)</f>
        <v>#REF!</v>
      </c>
      <c r="O16" s="70" t="e">
        <f>VLOOKUP(L16,#REF!,4,0)</f>
        <v>#REF!</v>
      </c>
      <c r="P16" s="70" t="e">
        <f>VLOOKUP(L16,#REF!,5,0)</f>
        <v>#REF!</v>
      </c>
      <c r="Q16" s="103" t="s">
        <v>178</v>
      </c>
      <c r="S16" s="93" t="s">
        <v>177</v>
      </c>
    </row>
    <row r="17" spans="1:19" s="71" customFormat="1" ht="54" x14ac:dyDescent="0.25">
      <c r="A17" s="63"/>
      <c r="B17" s="64">
        <v>191800</v>
      </c>
      <c r="C17" s="65"/>
      <c r="D17" s="66"/>
      <c r="E17" s="66"/>
      <c r="F17" s="66"/>
      <c r="G17" s="66"/>
      <c r="H17" s="67"/>
      <c r="I17" s="68" t="s">
        <v>182</v>
      </c>
      <c r="J17" s="69">
        <v>23359505</v>
      </c>
      <c r="K17" s="69"/>
      <c r="L17" s="35">
        <v>900968708</v>
      </c>
      <c r="M17" s="36" t="e">
        <f>VLOOKUP(L17,#REF!,2,0)</f>
        <v>#REF!</v>
      </c>
      <c r="N17" s="70" t="e">
        <f>VLOOKUP(L17,#REF!,3,0)</f>
        <v>#REF!</v>
      </c>
      <c r="O17" s="70" t="e">
        <f>VLOOKUP(L17,#REF!,4,0)</f>
        <v>#REF!</v>
      </c>
      <c r="P17" s="70" t="e">
        <f>VLOOKUP(L17,#REF!,5,0)</f>
        <v>#REF!</v>
      </c>
      <c r="Q17" s="113" t="s">
        <v>181</v>
      </c>
      <c r="S17" s="93" t="s">
        <v>180</v>
      </c>
    </row>
    <row r="18" spans="1:19" s="71" customFormat="1" ht="148.5" x14ac:dyDescent="0.25">
      <c r="A18" s="63"/>
      <c r="B18" s="64">
        <f>6064448+6064448</f>
        <v>12128896</v>
      </c>
      <c r="C18" s="65"/>
      <c r="D18" s="66"/>
      <c r="E18" s="66"/>
      <c r="F18" s="66"/>
      <c r="G18" s="66"/>
      <c r="H18" s="67"/>
      <c r="I18" s="68" t="s">
        <v>185</v>
      </c>
      <c r="J18" s="69">
        <v>23359505</v>
      </c>
      <c r="K18" s="69"/>
      <c r="L18" s="35">
        <v>890903910</v>
      </c>
      <c r="M18" s="36" t="e">
        <f>VLOOKUP(L18,#REF!,2,0)</f>
        <v>#REF!</v>
      </c>
      <c r="N18" s="70" t="e">
        <f>VLOOKUP(L18,#REF!,3,0)</f>
        <v>#REF!</v>
      </c>
      <c r="O18" s="70" t="e">
        <f>VLOOKUP(L18,#REF!,4,0)</f>
        <v>#REF!</v>
      </c>
      <c r="P18" s="70" t="e">
        <f>VLOOKUP(L18,#REF!,5,0)</f>
        <v>#REF!</v>
      </c>
      <c r="Q18" s="103" t="s">
        <v>184</v>
      </c>
      <c r="S18" s="93" t="s">
        <v>183</v>
      </c>
    </row>
    <row r="19" spans="1:19" s="71" customFormat="1" ht="40.5" x14ac:dyDescent="0.25">
      <c r="A19" s="63"/>
      <c r="B19" s="64">
        <v>2337221</v>
      </c>
      <c r="C19" s="65"/>
      <c r="D19" s="66"/>
      <c r="E19" s="66"/>
      <c r="F19" s="66"/>
      <c r="G19" s="66"/>
      <c r="H19" s="67"/>
      <c r="I19" s="68" t="s">
        <v>188</v>
      </c>
      <c r="J19" s="69">
        <v>23359505</v>
      </c>
      <c r="K19" s="69"/>
      <c r="L19" s="35">
        <v>900123432</v>
      </c>
      <c r="M19" s="36" t="e">
        <f>VLOOKUP(L19,#REF!,2,0)</f>
        <v>#REF!</v>
      </c>
      <c r="N19" s="70" t="e">
        <f>VLOOKUP(L19,#REF!,3,0)</f>
        <v>#REF!</v>
      </c>
      <c r="O19" s="70" t="e">
        <f>VLOOKUP(L19,#REF!,4,0)</f>
        <v>#REF!</v>
      </c>
      <c r="P19" s="70" t="e">
        <f>VLOOKUP(L19,#REF!,5,0)</f>
        <v>#REF!</v>
      </c>
      <c r="Q19" s="103" t="s">
        <v>187</v>
      </c>
      <c r="S19" s="93" t="s">
        <v>186</v>
      </c>
    </row>
    <row r="20" spans="1:19" s="71" customFormat="1" ht="27" x14ac:dyDescent="0.25">
      <c r="A20" s="63"/>
      <c r="B20" s="83">
        <v>188020</v>
      </c>
      <c r="C20" s="84"/>
      <c r="D20" s="66"/>
      <c r="E20" s="66"/>
      <c r="F20" s="66"/>
      <c r="G20" s="66"/>
      <c r="H20" s="67"/>
      <c r="I20" s="85" t="s">
        <v>197</v>
      </c>
      <c r="J20" s="69">
        <v>23359505</v>
      </c>
      <c r="K20" s="87"/>
      <c r="L20" s="56">
        <v>901761523</v>
      </c>
      <c r="M20" s="36" t="str">
        <f>VLOOKUP(L20,'[1]CTAS BANCARIAS'!A:E,2,0)</f>
        <v>URBAN GROUP SOLUCIONES EMPRESARIALES</v>
      </c>
      <c r="N20" s="70" t="e">
        <f>VLOOKUP(L20,#REF!,3,0)</f>
        <v>#REF!</v>
      </c>
      <c r="O20" s="70" t="e">
        <f>VLOOKUP(L20,#REF!,4,0)</f>
        <v>#REF!</v>
      </c>
      <c r="P20" s="70" t="e">
        <f>VLOOKUP(L20,#REF!,5,0)</f>
        <v>#REF!</v>
      </c>
      <c r="Q20" s="104" t="s">
        <v>196</v>
      </c>
      <c r="S20" s="93" t="s">
        <v>195</v>
      </c>
    </row>
    <row r="21" spans="1:19" s="71" customFormat="1" ht="54" x14ac:dyDescent="0.25">
      <c r="A21" s="63"/>
      <c r="B21" s="83">
        <v>5037300</v>
      </c>
      <c r="C21" s="84"/>
      <c r="D21" s="66"/>
      <c r="E21" s="66"/>
      <c r="F21" s="66"/>
      <c r="G21" s="66"/>
      <c r="H21" s="67"/>
      <c r="I21" s="85" t="s">
        <v>200</v>
      </c>
      <c r="J21" s="69">
        <v>23359505</v>
      </c>
      <c r="K21" s="87"/>
      <c r="L21" s="56">
        <v>805021056</v>
      </c>
      <c r="M21" s="36" t="str">
        <f>VLOOKUP(L21,'[1]CTAS BANCARIAS'!A:E,2,0)</f>
        <v>TRANSPORTES ESPECIALES FLOR DEL VALLE</v>
      </c>
      <c r="N21" s="70" t="e">
        <f>VLOOKUP(L21,#REF!,3,0)</f>
        <v>#REF!</v>
      </c>
      <c r="O21" s="70" t="e">
        <f>VLOOKUP(L21,#REF!,4,0)</f>
        <v>#REF!</v>
      </c>
      <c r="P21" s="70" t="e">
        <f>VLOOKUP(L21,#REF!,5,0)</f>
        <v>#REF!</v>
      </c>
      <c r="Q21" s="104" t="s">
        <v>199</v>
      </c>
      <c r="S21" s="93" t="s">
        <v>198</v>
      </c>
    </row>
    <row r="22" spans="1:19" s="71" customFormat="1" ht="27" hidden="1" x14ac:dyDescent="0.25">
      <c r="A22" s="63"/>
      <c r="B22" s="83">
        <v>1481907</v>
      </c>
      <c r="C22" s="84"/>
      <c r="D22" s="66"/>
      <c r="E22" s="66"/>
      <c r="F22" s="66"/>
      <c r="G22" s="66"/>
      <c r="H22" s="67"/>
      <c r="I22" s="85" t="s">
        <v>203</v>
      </c>
      <c r="J22" s="69">
        <v>22050102</v>
      </c>
      <c r="K22" s="87"/>
      <c r="L22" s="56">
        <v>900128172</v>
      </c>
      <c r="M22" s="36" t="str">
        <f>VLOOKUP(L22,'[1]CTAS BANCARIAS'!A:E,2,0)</f>
        <v>INDUSTRIAS L.H. S.A.S.</v>
      </c>
      <c r="N22" s="70" t="e">
        <f>VLOOKUP(L22,#REF!,3,0)</f>
        <v>#REF!</v>
      </c>
      <c r="O22" s="70" t="e">
        <f>VLOOKUP(L22,#REF!,4,0)</f>
        <v>#REF!</v>
      </c>
      <c r="P22" s="70" t="e">
        <f>VLOOKUP(L22,#REF!,5,0)</f>
        <v>#REF!</v>
      </c>
      <c r="Q22" s="104" t="s">
        <v>202</v>
      </c>
      <c r="S22" s="93" t="s">
        <v>201</v>
      </c>
    </row>
    <row r="23" spans="1:19" s="71" customFormat="1" ht="54" hidden="1" x14ac:dyDescent="0.25">
      <c r="A23" s="63"/>
      <c r="B23" s="83">
        <v>6867384</v>
      </c>
      <c r="C23" s="84"/>
      <c r="D23" s="66"/>
      <c r="E23" s="66"/>
      <c r="F23" s="66"/>
      <c r="G23" s="66"/>
      <c r="H23" s="67"/>
      <c r="I23" s="85" t="s">
        <v>206</v>
      </c>
      <c r="J23" s="69">
        <v>22050102</v>
      </c>
      <c r="K23" s="87"/>
      <c r="L23" s="124">
        <v>11335004</v>
      </c>
      <c r="M23" s="36" t="e">
        <f>VLOOKUP(L23,#REF!,2,0)</f>
        <v>#REF!</v>
      </c>
      <c r="N23" s="70" t="e">
        <f>VLOOKUP(L23,#REF!,3,0)</f>
        <v>#REF!</v>
      </c>
      <c r="O23" s="70" t="e">
        <f>VLOOKUP(L23,#REF!,4,0)</f>
        <v>#REF!</v>
      </c>
      <c r="P23" s="70" t="e">
        <f>VLOOKUP(L23,#REF!,5,0)</f>
        <v>#REF!</v>
      </c>
      <c r="Q23" s="104" t="s">
        <v>205</v>
      </c>
      <c r="S23" s="93" t="s">
        <v>204</v>
      </c>
    </row>
    <row r="24" spans="1:19" s="71" customFormat="1" ht="54" x14ac:dyDescent="0.25">
      <c r="A24" s="63"/>
      <c r="B24" s="83">
        <v>1997358</v>
      </c>
      <c r="C24" s="84"/>
      <c r="D24" s="66"/>
      <c r="E24" s="66"/>
      <c r="F24" s="66"/>
      <c r="G24" s="66"/>
      <c r="H24" s="67"/>
      <c r="I24" s="85" t="s">
        <v>209</v>
      </c>
      <c r="J24" s="69">
        <v>23359505</v>
      </c>
      <c r="K24" s="87"/>
      <c r="L24" s="56">
        <v>860039988</v>
      </c>
      <c r="M24" s="36" t="e">
        <f>VLOOKUP(L24,#REF!,2,0)</f>
        <v>#REF!</v>
      </c>
      <c r="N24" s="70" t="e">
        <f>VLOOKUP(L24,#REF!,3,0)</f>
        <v>#REF!</v>
      </c>
      <c r="O24" s="70" t="e">
        <f>VLOOKUP(L24,#REF!,4,0)</f>
        <v>#REF!</v>
      </c>
      <c r="P24" s="70" t="e">
        <f>VLOOKUP(L24,#REF!,5,0)</f>
        <v>#REF!</v>
      </c>
      <c r="Q24" s="104" t="s">
        <v>208</v>
      </c>
      <c r="S24" s="93" t="s">
        <v>207</v>
      </c>
    </row>
    <row r="25" spans="1:19" s="71" customFormat="1" ht="108" x14ac:dyDescent="0.25">
      <c r="A25" s="63"/>
      <c r="B25" s="83">
        <f>155000+79000</f>
        <v>234000</v>
      </c>
      <c r="C25" s="84"/>
      <c r="D25" s="66"/>
      <c r="E25" s="66"/>
      <c r="F25" s="66"/>
      <c r="G25" s="66"/>
      <c r="H25" s="67"/>
      <c r="I25" s="85" t="s">
        <v>224</v>
      </c>
      <c r="J25" s="69">
        <v>23359505</v>
      </c>
      <c r="K25" s="87"/>
      <c r="L25" s="56">
        <v>34609530</v>
      </c>
      <c r="M25" s="36" t="e">
        <f>VLOOKUP(L25,#REF!,2,0)</f>
        <v>#REF!</v>
      </c>
      <c r="N25" s="70" t="e">
        <f>VLOOKUP(L25,#REF!,3,0)</f>
        <v>#REF!</v>
      </c>
      <c r="O25" s="70" t="e">
        <f>VLOOKUP(L25,#REF!,4,0)</f>
        <v>#REF!</v>
      </c>
      <c r="P25" s="70" t="e">
        <f>VLOOKUP(L25,#REF!,5,0)</f>
        <v>#REF!</v>
      </c>
      <c r="Q25" s="104" t="s">
        <v>226</v>
      </c>
      <c r="S25" s="93" t="s">
        <v>225</v>
      </c>
    </row>
    <row r="26" spans="1:19" s="71" customFormat="1" ht="27" x14ac:dyDescent="0.25">
      <c r="A26" s="63"/>
      <c r="B26" s="83">
        <v>180000</v>
      </c>
      <c r="C26" s="84"/>
      <c r="D26" s="66"/>
      <c r="E26" s="66"/>
      <c r="F26" s="66"/>
      <c r="G26" s="66"/>
      <c r="H26" s="67"/>
      <c r="I26" s="85">
        <v>421</v>
      </c>
      <c r="J26" s="69">
        <v>23359505</v>
      </c>
      <c r="K26" s="87"/>
      <c r="L26" s="56">
        <v>900919176</v>
      </c>
      <c r="M26" s="36" t="e">
        <f>VLOOKUP(L26,#REF!,2,0)</f>
        <v>#REF!</v>
      </c>
      <c r="N26" s="70" t="e">
        <f>VLOOKUP(L26,#REF!,3,0)</f>
        <v>#REF!</v>
      </c>
      <c r="O26" s="70" t="e">
        <f>VLOOKUP(L26,#REF!,4,0)</f>
        <v>#REF!</v>
      </c>
      <c r="P26" s="70" t="e">
        <f>VLOOKUP(L26,#REF!,5,0)</f>
        <v>#REF!</v>
      </c>
      <c r="Q26" s="104" t="s">
        <v>211</v>
      </c>
      <c r="S26" s="93" t="s">
        <v>210</v>
      </c>
    </row>
    <row r="27" spans="1:19" s="71" customFormat="1" ht="202.5" x14ac:dyDescent="0.25">
      <c r="A27" s="63"/>
      <c r="B27" s="83">
        <f>552500+149500+138400</f>
        <v>840400</v>
      </c>
      <c r="C27" s="84"/>
      <c r="D27" s="66"/>
      <c r="E27" s="66"/>
      <c r="F27" s="66"/>
      <c r="G27" s="66"/>
      <c r="H27" s="67"/>
      <c r="I27" s="85" t="s">
        <v>233</v>
      </c>
      <c r="J27" s="69">
        <v>23359505</v>
      </c>
      <c r="K27" s="87"/>
      <c r="L27" s="56">
        <v>10487194</v>
      </c>
      <c r="M27" s="36" t="e">
        <f>VLOOKUP(L27,#REF!,2,0)</f>
        <v>#REF!</v>
      </c>
      <c r="N27" s="70" t="e">
        <f>VLOOKUP(L27,#REF!,3,0)</f>
        <v>#REF!</v>
      </c>
      <c r="O27" s="70" t="e">
        <f>VLOOKUP(L27,#REF!,4,0)</f>
        <v>#REF!</v>
      </c>
      <c r="P27" s="70" t="e">
        <f>VLOOKUP(L27,#REF!,5,0)</f>
        <v>#REF!</v>
      </c>
      <c r="Q27" s="104" t="s">
        <v>235</v>
      </c>
      <c r="S27" s="93" t="s">
        <v>234</v>
      </c>
    </row>
    <row r="28" spans="1:19" s="71" customFormat="1" ht="54" x14ac:dyDescent="0.25">
      <c r="A28" s="63"/>
      <c r="B28" s="83">
        <v>2316163</v>
      </c>
      <c r="C28" s="84"/>
      <c r="D28" s="66"/>
      <c r="E28" s="66"/>
      <c r="F28" s="66"/>
      <c r="G28" s="66"/>
      <c r="H28" s="67"/>
      <c r="I28" s="85" t="s">
        <v>212</v>
      </c>
      <c r="J28" s="69">
        <v>23359505</v>
      </c>
      <c r="K28" s="87"/>
      <c r="L28" s="56">
        <v>817003377</v>
      </c>
      <c r="M28" s="36" t="e">
        <f>VLOOKUP(L28,#REF!,2,0)</f>
        <v>#REF!</v>
      </c>
      <c r="N28" s="70" t="e">
        <f>VLOOKUP(L28,#REF!,3,0)</f>
        <v>#REF!</v>
      </c>
      <c r="O28" s="70" t="e">
        <f>VLOOKUP(L28,#REF!,4,0)</f>
        <v>#REF!</v>
      </c>
      <c r="P28" s="70" t="e">
        <f>VLOOKUP(L28,#REF!,5,0)</f>
        <v>#REF!</v>
      </c>
      <c r="Q28" s="104" t="s">
        <v>214</v>
      </c>
      <c r="S28" s="93" t="s">
        <v>213</v>
      </c>
    </row>
    <row r="29" spans="1:19" s="71" customFormat="1" ht="54" x14ac:dyDescent="0.25">
      <c r="A29" s="63"/>
      <c r="B29" s="83">
        <v>120000</v>
      </c>
      <c r="C29" s="84"/>
      <c r="D29" s="66"/>
      <c r="E29" s="66"/>
      <c r="F29" s="66"/>
      <c r="G29" s="66"/>
      <c r="H29" s="67"/>
      <c r="I29" s="85" t="s">
        <v>215</v>
      </c>
      <c r="J29" s="69">
        <v>23359505</v>
      </c>
      <c r="K29" s="87"/>
      <c r="L29" s="56">
        <v>901562091</v>
      </c>
      <c r="M29" s="36" t="e">
        <f>VLOOKUP(L29,#REF!,2,0)</f>
        <v>#REF!</v>
      </c>
      <c r="N29" s="70" t="e">
        <f>VLOOKUP(L29,#REF!,3,0)</f>
        <v>#REF!</v>
      </c>
      <c r="O29" s="70" t="e">
        <f>VLOOKUP(L29,#REF!,4,0)</f>
        <v>#REF!</v>
      </c>
      <c r="P29" s="70" t="e">
        <f>VLOOKUP(L29,#REF!,5,0)</f>
        <v>#REF!</v>
      </c>
      <c r="Q29" s="104" t="s">
        <v>217</v>
      </c>
      <c r="S29" s="93" t="s">
        <v>216</v>
      </c>
    </row>
    <row r="30" spans="1:19" s="71" customFormat="1" ht="40.5" x14ac:dyDescent="0.25">
      <c r="A30" s="63"/>
      <c r="B30" s="83">
        <v>440000</v>
      </c>
      <c r="C30" s="84"/>
      <c r="D30" s="66"/>
      <c r="E30" s="66"/>
      <c r="F30" s="66"/>
      <c r="G30" s="66"/>
      <c r="H30" s="67"/>
      <c r="I30" s="85" t="s">
        <v>218</v>
      </c>
      <c r="J30" s="69">
        <v>23359505</v>
      </c>
      <c r="K30" s="87"/>
      <c r="L30" s="56">
        <v>1061793315</v>
      </c>
      <c r="M30" s="36" t="e">
        <f>VLOOKUP(L30,#REF!,2,0)</f>
        <v>#REF!</v>
      </c>
      <c r="N30" s="70" t="e">
        <f>VLOOKUP(L30,#REF!,3,0)</f>
        <v>#REF!</v>
      </c>
      <c r="O30" s="70" t="e">
        <f>VLOOKUP(L30,#REF!,4,0)</f>
        <v>#REF!</v>
      </c>
      <c r="P30" s="70" t="e">
        <f>VLOOKUP(L30,#REF!,5,0)</f>
        <v>#REF!</v>
      </c>
      <c r="Q30" s="104" t="s">
        <v>220</v>
      </c>
      <c r="S30" s="93" t="s">
        <v>219</v>
      </c>
    </row>
    <row r="31" spans="1:19" s="71" customFormat="1" ht="67.5" x14ac:dyDescent="0.25">
      <c r="A31" s="63"/>
      <c r="B31" s="83">
        <v>444538</v>
      </c>
      <c r="C31" s="84"/>
      <c r="D31" s="66"/>
      <c r="E31" s="66"/>
      <c r="F31" s="66"/>
      <c r="G31" s="66"/>
      <c r="H31" s="67"/>
      <c r="I31" s="85" t="s">
        <v>223</v>
      </c>
      <c r="J31" s="69">
        <v>23359505</v>
      </c>
      <c r="K31" s="87"/>
      <c r="L31" s="56">
        <v>900434234</v>
      </c>
      <c r="M31" s="36" t="e">
        <f>VLOOKUP(L31,#REF!,2,0)</f>
        <v>#REF!</v>
      </c>
      <c r="N31" s="70" t="e">
        <f>VLOOKUP(L31,#REF!,3,0)</f>
        <v>#REF!</v>
      </c>
      <c r="O31" s="70" t="e">
        <f>VLOOKUP(L31,#REF!,4,0)</f>
        <v>#REF!</v>
      </c>
      <c r="P31" s="70" t="e">
        <f>VLOOKUP(L31,#REF!,5,0)</f>
        <v>#REF!</v>
      </c>
      <c r="Q31" s="104" t="s">
        <v>222</v>
      </c>
      <c r="S31" s="93" t="s">
        <v>221</v>
      </c>
    </row>
    <row r="32" spans="1:19" s="71" customFormat="1" ht="27" x14ac:dyDescent="0.25">
      <c r="A32" s="63"/>
      <c r="B32" s="64">
        <v>230000</v>
      </c>
      <c r="C32" s="65"/>
      <c r="D32" s="66"/>
      <c r="E32" s="66"/>
      <c r="F32" s="66"/>
      <c r="G32" s="66"/>
      <c r="H32" s="67"/>
      <c r="I32" s="68" t="s">
        <v>229</v>
      </c>
      <c r="J32" s="69">
        <v>23359505</v>
      </c>
      <c r="K32" s="69"/>
      <c r="L32" s="35">
        <v>900375592</v>
      </c>
      <c r="M32" s="36" t="e">
        <f>VLOOKUP(L32,#REF!,2,0)</f>
        <v>#REF!</v>
      </c>
      <c r="N32" s="70" t="e">
        <f>VLOOKUP(L32,#REF!,3,0)</f>
        <v>#REF!</v>
      </c>
      <c r="O32" s="70" t="e">
        <f>VLOOKUP(L32,#REF!,4,0)</f>
        <v>#REF!</v>
      </c>
      <c r="P32" s="70" t="e">
        <f>VLOOKUP(L32,#REF!,5,0)</f>
        <v>#REF!</v>
      </c>
      <c r="Q32" s="103" t="s">
        <v>228</v>
      </c>
      <c r="S32" s="93" t="s">
        <v>227</v>
      </c>
    </row>
    <row r="33" spans="1:19" s="71" customFormat="1" ht="40.5" x14ac:dyDescent="0.25">
      <c r="A33" s="63"/>
      <c r="B33" s="64">
        <v>1189750</v>
      </c>
      <c r="C33" s="65"/>
      <c r="D33" s="66"/>
      <c r="E33" s="66"/>
      <c r="F33" s="66"/>
      <c r="G33" s="66"/>
      <c r="H33" s="67"/>
      <c r="I33" s="68" t="s">
        <v>230</v>
      </c>
      <c r="J33" s="69">
        <v>23359505</v>
      </c>
      <c r="K33" s="69"/>
      <c r="L33" s="35">
        <v>900796527</v>
      </c>
      <c r="M33" s="36" t="e">
        <f>VLOOKUP(L33,#REF!,2,0)</f>
        <v>#REF!</v>
      </c>
      <c r="N33" s="70" t="e">
        <f>VLOOKUP(L33,#REF!,3,0)</f>
        <v>#REF!</v>
      </c>
      <c r="O33" s="70" t="e">
        <f>VLOOKUP(L33,#REF!,4,0)</f>
        <v>#REF!</v>
      </c>
      <c r="P33" s="70" t="e">
        <f>VLOOKUP(L33,#REF!,5,0)</f>
        <v>#REF!</v>
      </c>
      <c r="Q33" s="103" t="s">
        <v>232</v>
      </c>
      <c r="S33" s="93" t="s">
        <v>231</v>
      </c>
    </row>
    <row r="34" spans="1:19" s="71" customFormat="1" ht="108" x14ac:dyDescent="0.25">
      <c r="A34" s="63"/>
      <c r="B34" s="64">
        <f>170000+376000</f>
        <v>546000</v>
      </c>
      <c r="C34" s="65"/>
      <c r="D34" s="66"/>
      <c r="E34" s="66"/>
      <c r="F34" s="66"/>
      <c r="G34" s="66"/>
      <c r="H34" s="67"/>
      <c r="I34" s="68"/>
      <c r="J34" s="69">
        <v>23359505</v>
      </c>
      <c r="K34" s="69"/>
      <c r="L34" s="35">
        <v>4758926</v>
      </c>
      <c r="M34" s="36" t="e">
        <f>VLOOKUP(L34,#REF!,2,0)</f>
        <v>#REF!</v>
      </c>
      <c r="N34" s="70" t="e">
        <f>VLOOKUP(L34,#REF!,3,0)</f>
        <v>#REF!</v>
      </c>
      <c r="O34" s="70" t="e">
        <f>VLOOKUP(L34,#REF!,4,0)</f>
        <v>#REF!</v>
      </c>
      <c r="P34" s="70" t="e">
        <f>VLOOKUP(L34,#REF!,5,0)</f>
        <v>#REF!</v>
      </c>
      <c r="Q34" s="103" t="s">
        <v>238</v>
      </c>
      <c r="S34" s="93" t="s">
        <v>237</v>
      </c>
    </row>
    <row r="35" spans="1:19" s="71" customFormat="1" ht="121.5" x14ac:dyDescent="0.25">
      <c r="A35" s="63"/>
      <c r="B35" s="64">
        <f>3290000+220000+564000</f>
        <v>4074000</v>
      </c>
      <c r="C35" s="65"/>
      <c r="D35" s="66"/>
      <c r="E35" s="66"/>
      <c r="F35" s="66"/>
      <c r="G35" s="66"/>
      <c r="H35" s="67"/>
      <c r="I35" s="68" t="s">
        <v>251</v>
      </c>
      <c r="J35" s="69">
        <v>23359505</v>
      </c>
      <c r="K35" s="69"/>
      <c r="L35" s="35">
        <v>10489352</v>
      </c>
      <c r="M35" s="36" t="e">
        <f>VLOOKUP(L35,#REF!,2,0)</f>
        <v>#REF!</v>
      </c>
      <c r="N35" s="70" t="e">
        <f>VLOOKUP(L35,#REF!,3,0)</f>
        <v>#REF!</v>
      </c>
      <c r="O35" s="70" t="e">
        <f>VLOOKUP(L35,#REF!,4,0)</f>
        <v>#REF!</v>
      </c>
      <c r="P35" s="70" t="e">
        <f>VLOOKUP(L35,#REF!,5,0)</f>
        <v>#REF!</v>
      </c>
      <c r="Q35" s="103" t="s">
        <v>253</v>
      </c>
      <c r="S35" s="93" t="s">
        <v>252</v>
      </c>
    </row>
    <row r="36" spans="1:19" s="71" customFormat="1" ht="27" x14ac:dyDescent="0.25">
      <c r="A36" s="63"/>
      <c r="B36" s="64">
        <v>686200</v>
      </c>
      <c r="C36" s="65"/>
      <c r="D36" s="66"/>
      <c r="E36" s="66"/>
      <c r="F36" s="66"/>
      <c r="G36" s="66"/>
      <c r="H36" s="67"/>
      <c r="I36" s="68"/>
      <c r="J36" s="69">
        <v>23359505</v>
      </c>
      <c r="K36" s="69"/>
      <c r="L36" s="35">
        <v>10593556</v>
      </c>
      <c r="M36" s="36" t="e">
        <f>VLOOKUP(L36,#REF!,2,0)</f>
        <v>#REF!</v>
      </c>
      <c r="N36" s="70" t="e">
        <f>VLOOKUP(L36,#REF!,3,0)</f>
        <v>#REF!</v>
      </c>
      <c r="O36" s="70" t="e">
        <f>VLOOKUP(L36,#REF!,4,0)</f>
        <v>#REF!</v>
      </c>
      <c r="P36" s="70" t="e">
        <f>VLOOKUP(L36,#REF!,5,0)</f>
        <v>#REF!</v>
      </c>
      <c r="Q36" s="103" t="s">
        <v>240</v>
      </c>
      <c r="S36" s="93" t="s">
        <v>239</v>
      </c>
    </row>
    <row r="37" spans="1:19" s="71" customFormat="1" ht="54" x14ac:dyDescent="0.25">
      <c r="A37" s="63"/>
      <c r="B37" s="64">
        <v>96000</v>
      </c>
      <c r="C37" s="65"/>
      <c r="D37" s="66"/>
      <c r="E37" s="66"/>
      <c r="F37" s="66"/>
      <c r="G37" s="66"/>
      <c r="H37" s="67"/>
      <c r="I37" s="68"/>
      <c r="J37" s="69">
        <v>23359505</v>
      </c>
      <c r="K37" s="69"/>
      <c r="L37" s="35">
        <v>1152699645</v>
      </c>
      <c r="M37" s="36" t="e">
        <f>VLOOKUP(L37,#REF!,2,0)</f>
        <v>#REF!</v>
      </c>
      <c r="N37" s="70" t="e">
        <f>VLOOKUP(L37,#REF!,3,0)</f>
        <v>#REF!</v>
      </c>
      <c r="O37" s="70" t="e">
        <f>VLOOKUP(L37,#REF!,4,0)</f>
        <v>#REF!</v>
      </c>
      <c r="P37" s="70" t="e">
        <f>VLOOKUP(L37,#REF!,5,0)</f>
        <v>#REF!</v>
      </c>
      <c r="Q37" s="103" t="s">
        <v>242</v>
      </c>
      <c r="S37" s="93" t="s">
        <v>241</v>
      </c>
    </row>
    <row r="38" spans="1:19" s="71" customFormat="1" ht="81" x14ac:dyDescent="0.25">
      <c r="A38" s="63"/>
      <c r="B38" s="64">
        <v>1350000</v>
      </c>
      <c r="C38" s="65"/>
      <c r="D38" s="66"/>
      <c r="E38" s="66"/>
      <c r="F38" s="66"/>
      <c r="G38" s="66"/>
      <c r="H38" s="67"/>
      <c r="I38" s="68">
        <v>522</v>
      </c>
      <c r="J38" s="118">
        <v>23359505</v>
      </c>
      <c r="K38" s="69"/>
      <c r="L38" s="35">
        <v>1062286671</v>
      </c>
      <c r="M38" s="36" t="e">
        <f>VLOOKUP(L38,#REF!,2,0)</f>
        <v>#REF!</v>
      </c>
      <c r="N38" s="70" t="e">
        <f>VLOOKUP(L38,#REF!,3,0)</f>
        <v>#REF!</v>
      </c>
      <c r="O38" s="70" t="e">
        <f>VLOOKUP(L38,#REF!,4,0)</f>
        <v>#REF!</v>
      </c>
      <c r="P38" s="70" t="e">
        <f>VLOOKUP(L38,#REF!,5,0)</f>
        <v>#REF!</v>
      </c>
      <c r="Q38" s="103" t="s">
        <v>244</v>
      </c>
      <c r="S38" s="93" t="s">
        <v>243</v>
      </c>
    </row>
    <row r="39" spans="1:19" s="71" customFormat="1" ht="27" x14ac:dyDescent="0.25">
      <c r="A39" s="63"/>
      <c r="B39" s="64">
        <v>235000</v>
      </c>
      <c r="C39" s="65"/>
      <c r="D39" s="66"/>
      <c r="E39" s="66"/>
      <c r="F39" s="66"/>
      <c r="G39" s="66"/>
      <c r="H39" s="67"/>
      <c r="I39" s="68">
        <v>464</v>
      </c>
      <c r="J39" s="69">
        <v>23359505</v>
      </c>
      <c r="K39" s="69"/>
      <c r="L39" s="35">
        <v>10306164</v>
      </c>
      <c r="M39" s="36" t="e">
        <f>VLOOKUP(L39,#REF!,2,0)</f>
        <v>#REF!</v>
      </c>
      <c r="N39" s="70" t="e">
        <f>VLOOKUP(L39,#REF!,3,0)</f>
        <v>#REF!</v>
      </c>
      <c r="O39" s="70" t="e">
        <f>VLOOKUP(L39,#REF!,4,0)</f>
        <v>#REF!</v>
      </c>
      <c r="P39" s="70" t="e">
        <f>VLOOKUP(L39,#REF!,5,0)</f>
        <v>#REF!</v>
      </c>
      <c r="Q39" s="103" t="s">
        <v>246</v>
      </c>
      <c r="S39" s="93" t="s">
        <v>245</v>
      </c>
    </row>
    <row r="40" spans="1:19" s="71" customFormat="1" ht="81" x14ac:dyDescent="0.25">
      <c r="A40" s="63"/>
      <c r="B40" s="64">
        <v>140000</v>
      </c>
      <c r="C40" s="65"/>
      <c r="D40" s="66"/>
      <c r="E40" s="66"/>
      <c r="F40" s="66"/>
      <c r="G40" s="66"/>
      <c r="H40" s="67"/>
      <c r="I40" s="68"/>
      <c r="J40" s="69">
        <v>23359505</v>
      </c>
      <c r="K40" s="69"/>
      <c r="L40" s="35">
        <v>34326739</v>
      </c>
      <c r="M40" s="36" t="e">
        <f>VLOOKUP(L40,#REF!,2,0)</f>
        <v>#REF!</v>
      </c>
      <c r="N40" s="70" t="e">
        <f>VLOOKUP(L40,#REF!,3,0)</f>
        <v>#REF!</v>
      </c>
      <c r="O40" s="70" t="e">
        <f>VLOOKUP(L40,#REF!,4,0)</f>
        <v>#REF!</v>
      </c>
      <c r="P40" s="70" t="e">
        <f>VLOOKUP(L40,#REF!,5,0)</f>
        <v>#REF!</v>
      </c>
      <c r="Q40" s="103" t="s">
        <v>248</v>
      </c>
      <c r="S40" s="93" t="s">
        <v>247</v>
      </c>
    </row>
    <row r="41" spans="1:19" s="71" customFormat="1" ht="40.5" x14ac:dyDescent="0.25">
      <c r="A41" s="63"/>
      <c r="B41" s="64">
        <v>799000</v>
      </c>
      <c r="C41" s="65"/>
      <c r="D41" s="66"/>
      <c r="E41" s="66"/>
      <c r="F41" s="66"/>
      <c r="G41" s="66"/>
      <c r="H41" s="67"/>
      <c r="I41" s="68"/>
      <c r="J41" s="69">
        <v>23359505</v>
      </c>
      <c r="K41" s="69"/>
      <c r="L41" s="35">
        <v>10386119</v>
      </c>
      <c r="M41" s="36" t="e">
        <f>VLOOKUP(L41,#REF!,2,0)</f>
        <v>#REF!</v>
      </c>
      <c r="N41" s="70" t="e">
        <f>VLOOKUP(L41,#REF!,3,0)</f>
        <v>#REF!</v>
      </c>
      <c r="O41" s="70" t="e">
        <f>VLOOKUP(L41,#REF!,4,0)</f>
        <v>#REF!</v>
      </c>
      <c r="P41" s="70" t="e">
        <f>VLOOKUP(L41,#REF!,5,0)</f>
        <v>#REF!</v>
      </c>
      <c r="Q41" s="103" t="s">
        <v>250</v>
      </c>
      <c r="S41" s="93" t="s">
        <v>249</v>
      </c>
    </row>
    <row r="42" spans="1:19" s="71" customFormat="1" ht="54" x14ac:dyDescent="0.25">
      <c r="A42" s="63"/>
      <c r="B42" s="64">
        <v>148193</v>
      </c>
      <c r="C42" s="65"/>
      <c r="D42" s="66"/>
      <c r="E42" s="66"/>
      <c r="F42" s="66"/>
      <c r="G42" s="66"/>
      <c r="H42" s="67"/>
      <c r="I42" s="68"/>
      <c r="J42" s="118">
        <v>23359505</v>
      </c>
      <c r="K42" s="69"/>
      <c r="L42" s="68">
        <v>900434009</v>
      </c>
      <c r="M42" s="36" t="e">
        <f>VLOOKUP(L42,#REF!,2,0)</f>
        <v>#REF!</v>
      </c>
      <c r="N42" s="70" t="e">
        <f>VLOOKUP(L42,#REF!,3,0)</f>
        <v>#REF!</v>
      </c>
      <c r="O42" s="70" t="e">
        <f>VLOOKUP(L42,#REF!,4,0)</f>
        <v>#REF!</v>
      </c>
      <c r="P42" s="70" t="e">
        <f>VLOOKUP(L42,#REF!,5,0)</f>
        <v>#REF!</v>
      </c>
      <c r="Q42" s="103" t="s">
        <v>255</v>
      </c>
      <c r="S42" s="93" t="s">
        <v>254</v>
      </c>
    </row>
    <row r="43" spans="1:19" s="71" customFormat="1" ht="27" x14ac:dyDescent="0.25">
      <c r="A43" s="63"/>
      <c r="B43" s="64">
        <v>95000</v>
      </c>
      <c r="C43" s="65"/>
      <c r="D43" s="66"/>
      <c r="E43" s="66"/>
      <c r="F43" s="66"/>
      <c r="G43" s="66"/>
      <c r="H43" s="67"/>
      <c r="I43" s="68"/>
      <c r="J43" s="118">
        <v>23359505</v>
      </c>
      <c r="K43" s="69"/>
      <c r="L43" s="35">
        <v>1061689394</v>
      </c>
      <c r="M43" s="36" t="e">
        <f>VLOOKUP(L43,#REF!,2,0)</f>
        <v>#REF!</v>
      </c>
      <c r="N43" s="70" t="e">
        <f>VLOOKUP(L43,#REF!,3,0)</f>
        <v>#REF!</v>
      </c>
      <c r="O43" s="70" t="e">
        <f>VLOOKUP(L43,#REF!,4,0)</f>
        <v>#REF!</v>
      </c>
      <c r="P43" s="70" t="e">
        <f>VLOOKUP(L43,#REF!,5,0)</f>
        <v>#REF!</v>
      </c>
      <c r="Q43" s="103" t="s">
        <v>259</v>
      </c>
      <c r="S43" s="93" t="s">
        <v>258</v>
      </c>
    </row>
    <row r="44" spans="1:19" s="136" customFormat="1" ht="40.5" x14ac:dyDescent="0.25">
      <c r="A44" s="127"/>
      <c r="B44" s="128">
        <v>7999500</v>
      </c>
      <c r="C44" s="129"/>
      <c r="D44" s="130"/>
      <c r="E44" s="130"/>
      <c r="F44" s="130"/>
      <c r="G44" s="130"/>
      <c r="H44" s="131"/>
      <c r="I44" s="132"/>
      <c r="J44" s="133">
        <v>23359505</v>
      </c>
      <c r="K44" s="7"/>
      <c r="L44" s="134">
        <v>901051706</v>
      </c>
      <c r="M44" s="125" t="e">
        <f>VLOOKUP(L44,#REF!,2,0)</f>
        <v>#REF!</v>
      </c>
      <c r="N44" s="126" t="e">
        <f>VLOOKUP(L44,#REF!,3,0)</f>
        <v>#REF!</v>
      </c>
      <c r="O44" s="126" t="e">
        <f>VLOOKUP(L44,#REF!,4,0)</f>
        <v>#REF!</v>
      </c>
      <c r="P44" s="126" t="e">
        <f>VLOOKUP(L44,#REF!,5,0)</f>
        <v>#REF!</v>
      </c>
      <c r="Q44" s="135" t="s">
        <v>261</v>
      </c>
      <c r="S44" s="137" t="s">
        <v>260</v>
      </c>
    </row>
    <row r="45" spans="1:19" s="71" customFormat="1" x14ac:dyDescent="0.25">
      <c r="A45" s="63"/>
      <c r="B45" s="64"/>
      <c r="C45" s="65"/>
      <c r="D45" s="66"/>
      <c r="E45" s="66"/>
      <c r="F45" s="66"/>
      <c r="G45" s="66"/>
      <c r="H45" s="67"/>
      <c r="I45" s="68"/>
      <c r="J45" s="118">
        <v>23359505</v>
      </c>
      <c r="K45" s="69"/>
      <c r="L45" s="35"/>
      <c r="M45" s="36" t="e">
        <f>VLOOKUP(L45,#REF!,2,0)</f>
        <v>#REF!</v>
      </c>
      <c r="N45" s="70" t="e">
        <f>VLOOKUP(L45,#REF!,3,0)</f>
        <v>#REF!</v>
      </c>
      <c r="O45" s="70" t="e">
        <f>VLOOKUP(L45,#REF!,4,0)</f>
        <v>#REF!</v>
      </c>
      <c r="P45" s="70" t="e">
        <f>VLOOKUP(L45,#REF!,5,0)</f>
        <v>#REF!</v>
      </c>
      <c r="Q45" s="103"/>
      <c r="S45" s="93" t="s">
        <v>236</v>
      </c>
    </row>
    <row r="46" spans="1:19" s="71" customFormat="1" x14ac:dyDescent="0.25">
      <c r="A46" s="63"/>
      <c r="B46" s="64"/>
      <c r="C46" s="65"/>
      <c r="D46" s="66"/>
      <c r="E46" s="66"/>
      <c r="F46" s="66"/>
      <c r="G46" s="66"/>
      <c r="H46" s="67"/>
      <c r="I46" s="68"/>
      <c r="J46" s="118">
        <v>23359505</v>
      </c>
      <c r="K46" s="69"/>
      <c r="L46" s="35"/>
      <c r="M46" s="36" t="e">
        <f>VLOOKUP(L46,#REF!,2,0)</f>
        <v>#REF!</v>
      </c>
      <c r="N46" s="70" t="e">
        <f>VLOOKUP(L46,#REF!,3,0)</f>
        <v>#REF!</v>
      </c>
      <c r="O46" s="70" t="e">
        <f>VLOOKUP(L46,#REF!,4,0)</f>
        <v>#REF!</v>
      </c>
      <c r="P46" s="70" t="e">
        <f>VLOOKUP(L46,#REF!,5,0)</f>
        <v>#REF!</v>
      </c>
      <c r="Q46" s="103"/>
      <c r="S46" s="93" t="s">
        <v>236</v>
      </c>
    </row>
    <row r="47" spans="1:19" s="71" customFormat="1" x14ac:dyDescent="0.25">
      <c r="A47" s="63"/>
      <c r="B47" s="64"/>
      <c r="C47" s="65"/>
      <c r="D47" s="66"/>
      <c r="E47" s="66"/>
      <c r="F47" s="66"/>
      <c r="G47" s="66"/>
      <c r="H47" s="67"/>
      <c r="I47" s="68"/>
      <c r="J47" s="118">
        <v>23359505</v>
      </c>
      <c r="K47" s="69"/>
      <c r="L47" s="35"/>
      <c r="M47" s="36" t="e">
        <f>VLOOKUP(L47,#REF!,2,0)</f>
        <v>#REF!</v>
      </c>
      <c r="N47" s="70" t="e">
        <f>VLOOKUP(L47,#REF!,3,0)</f>
        <v>#REF!</v>
      </c>
      <c r="O47" s="70" t="e">
        <f>VLOOKUP(L47,#REF!,4,0)</f>
        <v>#REF!</v>
      </c>
      <c r="P47" s="70" t="e">
        <f>VLOOKUP(L47,#REF!,5,0)</f>
        <v>#REF!</v>
      </c>
      <c r="Q47" s="103"/>
      <c r="S47" s="93" t="s">
        <v>236</v>
      </c>
    </row>
    <row r="48" spans="1:19" s="71" customFormat="1" x14ac:dyDescent="0.25">
      <c r="A48" s="63"/>
      <c r="B48" s="64"/>
      <c r="C48" s="65"/>
      <c r="D48" s="66"/>
      <c r="E48" s="66"/>
      <c r="F48" s="66"/>
      <c r="G48" s="66"/>
      <c r="H48" s="67"/>
      <c r="I48" s="68"/>
      <c r="J48" s="118">
        <v>23359505</v>
      </c>
      <c r="K48" s="69"/>
      <c r="L48" s="35"/>
      <c r="M48" s="36" t="e">
        <f>VLOOKUP(L48,#REF!,2,0)</f>
        <v>#REF!</v>
      </c>
      <c r="N48" s="70" t="e">
        <f>VLOOKUP(L48,#REF!,3,0)</f>
        <v>#REF!</v>
      </c>
      <c r="O48" s="70" t="e">
        <f>VLOOKUP(L48,#REF!,4,0)</f>
        <v>#REF!</v>
      </c>
      <c r="P48" s="70" t="e">
        <f>VLOOKUP(L48,#REF!,5,0)</f>
        <v>#REF!</v>
      </c>
      <c r="Q48" s="103"/>
      <c r="S48" s="93" t="s">
        <v>236</v>
      </c>
    </row>
    <row r="49" spans="1:19" s="71" customFormat="1" x14ac:dyDescent="0.25">
      <c r="A49" s="63"/>
      <c r="B49" s="64"/>
      <c r="C49" s="65"/>
      <c r="D49" s="66"/>
      <c r="E49" s="66"/>
      <c r="F49" s="66"/>
      <c r="G49" s="66"/>
      <c r="H49" s="67"/>
      <c r="I49" s="68"/>
      <c r="J49" s="118">
        <v>23359505</v>
      </c>
      <c r="K49" s="69"/>
      <c r="L49" s="35"/>
      <c r="M49" s="36" t="e">
        <f>VLOOKUP(L49,#REF!,2,0)</f>
        <v>#REF!</v>
      </c>
      <c r="N49" s="70" t="e">
        <f>VLOOKUP(L49,#REF!,3,0)</f>
        <v>#REF!</v>
      </c>
      <c r="O49" s="70" t="e">
        <f>VLOOKUP(L49,#REF!,4,0)</f>
        <v>#REF!</v>
      </c>
      <c r="P49" s="70" t="e">
        <f>VLOOKUP(L49,#REF!,5,0)</f>
        <v>#REF!</v>
      </c>
      <c r="Q49" s="103"/>
      <c r="S49" s="93" t="s">
        <v>236</v>
      </c>
    </row>
    <row r="50" spans="1:19" s="71" customFormat="1" x14ac:dyDescent="0.25">
      <c r="A50" s="63"/>
      <c r="B50" s="64"/>
      <c r="C50" s="65"/>
      <c r="D50" s="66"/>
      <c r="E50" s="66"/>
      <c r="F50" s="66"/>
      <c r="G50" s="66"/>
      <c r="H50" s="67"/>
      <c r="I50" s="68"/>
      <c r="J50" s="118">
        <v>23359505</v>
      </c>
      <c r="K50" s="69"/>
      <c r="L50" s="35"/>
      <c r="M50" s="36" t="e">
        <f>VLOOKUP(L50,#REF!,2,0)</f>
        <v>#REF!</v>
      </c>
      <c r="N50" s="70" t="e">
        <f>VLOOKUP(L50,#REF!,3,0)</f>
        <v>#REF!</v>
      </c>
      <c r="O50" s="70" t="e">
        <f>VLOOKUP(L50,#REF!,4,0)</f>
        <v>#REF!</v>
      </c>
      <c r="P50" s="70" t="e">
        <f>VLOOKUP(L50,#REF!,5,0)</f>
        <v>#REF!</v>
      </c>
      <c r="Q50" s="103"/>
      <c r="S50" s="93" t="s">
        <v>236</v>
      </c>
    </row>
    <row r="51" spans="1:19" s="71" customFormat="1" x14ac:dyDescent="0.25">
      <c r="A51" s="63"/>
      <c r="B51" s="64"/>
      <c r="C51" s="65"/>
      <c r="D51" s="66"/>
      <c r="E51" s="66"/>
      <c r="F51" s="66"/>
      <c r="G51" s="66"/>
      <c r="H51" s="67"/>
      <c r="I51" s="68"/>
      <c r="J51" s="118">
        <v>23359505</v>
      </c>
      <c r="K51" s="69"/>
      <c r="L51" s="68"/>
      <c r="M51" s="36" t="e">
        <f>VLOOKUP(L51,#REF!,2,0)</f>
        <v>#REF!</v>
      </c>
      <c r="N51" s="70" t="e">
        <f>VLOOKUP(L51,#REF!,3,0)</f>
        <v>#REF!</v>
      </c>
      <c r="O51" s="70" t="e">
        <f>VLOOKUP(L51,#REF!,4,0)</f>
        <v>#REF!</v>
      </c>
      <c r="P51" s="70" t="e">
        <f>VLOOKUP(L51,#REF!,5,0)</f>
        <v>#REF!</v>
      </c>
      <c r="Q51" s="103"/>
      <c r="S51" s="93" t="s">
        <v>236</v>
      </c>
    </row>
    <row r="52" spans="1:19" s="71" customFormat="1" x14ac:dyDescent="0.25">
      <c r="A52" s="63"/>
      <c r="B52" s="64"/>
      <c r="C52" s="65"/>
      <c r="D52" s="66"/>
      <c r="E52" s="66"/>
      <c r="F52" s="66"/>
      <c r="G52" s="66"/>
      <c r="H52" s="67"/>
      <c r="I52" s="68"/>
      <c r="J52" s="118">
        <v>23359505</v>
      </c>
      <c r="K52" s="69"/>
      <c r="L52" s="68"/>
      <c r="M52" s="36" t="e">
        <f>VLOOKUP(L52,#REF!,2,0)</f>
        <v>#REF!</v>
      </c>
      <c r="N52" s="70" t="e">
        <f>VLOOKUP(L52,#REF!,3,0)</f>
        <v>#REF!</v>
      </c>
      <c r="O52" s="70" t="e">
        <f>VLOOKUP(L52,#REF!,4,0)</f>
        <v>#REF!</v>
      </c>
      <c r="P52" s="70" t="e">
        <f>VLOOKUP(L52,#REF!,5,0)</f>
        <v>#REF!</v>
      </c>
      <c r="Q52" s="103"/>
      <c r="S52" s="93" t="s">
        <v>236</v>
      </c>
    </row>
    <row r="53" spans="1:19" s="71" customFormat="1" x14ac:dyDescent="0.25">
      <c r="A53" s="63"/>
      <c r="B53" s="64"/>
      <c r="C53" s="65"/>
      <c r="D53" s="66"/>
      <c r="E53" s="66"/>
      <c r="F53" s="66"/>
      <c r="G53" s="66"/>
      <c r="H53" s="67"/>
      <c r="I53" s="68"/>
      <c r="J53" s="118">
        <v>23359505</v>
      </c>
      <c r="K53" s="69"/>
      <c r="L53" s="68"/>
      <c r="M53" s="36" t="e">
        <f>VLOOKUP(L53,#REF!,2,0)</f>
        <v>#REF!</v>
      </c>
      <c r="N53" s="70" t="e">
        <f>VLOOKUP(L53,#REF!,3,0)</f>
        <v>#REF!</v>
      </c>
      <c r="O53" s="70" t="e">
        <f>VLOOKUP(L53,#REF!,4,0)</f>
        <v>#REF!</v>
      </c>
      <c r="P53" s="70" t="e">
        <f>VLOOKUP(L53,#REF!,5,0)</f>
        <v>#REF!</v>
      </c>
      <c r="Q53" s="103"/>
      <c r="S53" s="93" t="s">
        <v>236</v>
      </c>
    </row>
    <row r="54" spans="1:19" s="71" customFormat="1" x14ac:dyDescent="0.25">
      <c r="A54" s="63"/>
      <c r="B54" s="64"/>
      <c r="C54" s="65"/>
      <c r="D54" s="66"/>
      <c r="E54" s="66"/>
      <c r="F54" s="66"/>
      <c r="G54" s="66"/>
      <c r="H54" s="67"/>
      <c r="I54" s="68"/>
      <c r="J54" s="118">
        <v>23359505</v>
      </c>
      <c r="K54" s="69"/>
      <c r="L54" s="68"/>
      <c r="M54" s="36" t="e">
        <f>VLOOKUP(L54,#REF!,2,0)</f>
        <v>#REF!</v>
      </c>
      <c r="N54" s="70" t="e">
        <f>VLOOKUP(L54,#REF!,3,0)</f>
        <v>#REF!</v>
      </c>
      <c r="O54" s="70" t="e">
        <f>VLOOKUP(L54,#REF!,4,0)</f>
        <v>#REF!</v>
      </c>
      <c r="P54" s="70" t="e">
        <f>VLOOKUP(L54,#REF!,5,0)</f>
        <v>#REF!</v>
      </c>
      <c r="Q54" s="103"/>
      <c r="S54" s="93" t="s">
        <v>236</v>
      </c>
    </row>
    <row r="55" spans="1:19" s="71" customFormat="1" x14ac:dyDescent="0.25">
      <c r="A55" s="63"/>
      <c r="B55" s="64"/>
      <c r="C55" s="65"/>
      <c r="D55" s="66"/>
      <c r="E55" s="66"/>
      <c r="F55" s="66"/>
      <c r="G55" s="66"/>
      <c r="H55" s="67"/>
      <c r="I55" s="68"/>
      <c r="J55" s="118">
        <v>23359505</v>
      </c>
      <c r="K55" s="69"/>
      <c r="L55" s="68"/>
      <c r="M55" s="36" t="e">
        <f>VLOOKUP(L55,#REF!,2,0)</f>
        <v>#REF!</v>
      </c>
      <c r="N55" s="70" t="e">
        <f>VLOOKUP(L55,#REF!,3,0)</f>
        <v>#REF!</v>
      </c>
      <c r="O55" s="70" t="e">
        <f>VLOOKUP(L55,#REF!,4,0)</f>
        <v>#REF!</v>
      </c>
      <c r="P55" s="70" t="e">
        <f>VLOOKUP(L55,#REF!,5,0)</f>
        <v>#REF!</v>
      </c>
      <c r="Q55" s="103"/>
      <c r="S55" s="93" t="s">
        <v>236</v>
      </c>
    </row>
    <row r="56" spans="1:19" s="71" customFormat="1" x14ac:dyDescent="0.25">
      <c r="A56" s="63"/>
      <c r="B56" s="64"/>
      <c r="C56" s="65"/>
      <c r="D56" s="66"/>
      <c r="E56" s="66"/>
      <c r="F56" s="66"/>
      <c r="G56" s="66"/>
      <c r="H56" s="67"/>
      <c r="I56" s="68"/>
      <c r="J56" s="118">
        <v>23359505</v>
      </c>
      <c r="K56" s="69"/>
      <c r="L56" s="68"/>
      <c r="M56" s="36" t="e">
        <f>VLOOKUP(L56,#REF!,2,0)</f>
        <v>#REF!</v>
      </c>
      <c r="N56" s="70" t="e">
        <f>VLOOKUP(L56,#REF!,3,0)</f>
        <v>#REF!</v>
      </c>
      <c r="O56" s="70" t="e">
        <f>VLOOKUP(L56,#REF!,4,0)</f>
        <v>#REF!</v>
      </c>
      <c r="P56" s="70" t="e">
        <f>VLOOKUP(L56,#REF!,5,0)</f>
        <v>#REF!</v>
      </c>
      <c r="Q56" s="103"/>
      <c r="S56" s="93" t="s">
        <v>236</v>
      </c>
    </row>
    <row r="57" spans="1:19" s="71" customFormat="1" x14ac:dyDescent="0.25">
      <c r="A57" s="63"/>
      <c r="B57" s="64"/>
      <c r="C57" s="65"/>
      <c r="D57" s="66"/>
      <c r="E57" s="66"/>
      <c r="F57" s="66"/>
      <c r="G57" s="66"/>
      <c r="H57" s="67"/>
      <c r="I57" s="68"/>
      <c r="J57" s="118">
        <v>23359505</v>
      </c>
      <c r="K57" s="69"/>
      <c r="L57" s="68"/>
      <c r="M57" s="36" t="e">
        <f>VLOOKUP(L57,#REF!,2,0)</f>
        <v>#REF!</v>
      </c>
      <c r="N57" s="70" t="e">
        <f>VLOOKUP(L57,#REF!,3,0)</f>
        <v>#REF!</v>
      </c>
      <c r="O57" s="70" t="e">
        <f>VLOOKUP(L57,#REF!,4,0)</f>
        <v>#REF!</v>
      </c>
      <c r="P57" s="70" t="e">
        <f>VLOOKUP(L57,#REF!,5,0)</f>
        <v>#REF!</v>
      </c>
      <c r="Q57" s="103"/>
      <c r="S57" s="93" t="s">
        <v>236</v>
      </c>
    </row>
    <row r="58" spans="1:19" s="71" customFormat="1" x14ac:dyDescent="0.25">
      <c r="A58" s="63"/>
      <c r="B58" s="64"/>
      <c r="C58" s="65"/>
      <c r="D58" s="66"/>
      <c r="E58" s="66"/>
      <c r="F58" s="66"/>
      <c r="G58" s="66"/>
      <c r="H58" s="67"/>
      <c r="I58" s="68"/>
      <c r="J58" s="118">
        <v>23359505</v>
      </c>
      <c r="K58" s="69"/>
      <c r="L58" s="68"/>
      <c r="M58" s="36" t="e">
        <f>VLOOKUP(L58,#REF!,2,0)</f>
        <v>#REF!</v>
      </c>
      <c r="N58" s="70" t="e">
        <f>VLOOKUP(L58,#REF!,3,0)</f>
        <v>#REF!</v>
      </c>
      <c r="O58" s="70" t="e">
        <f>VLOOKUP(L58,#REF!,4,0)</f>
        <v>#REF!</v>
      </c>
      <c r="P58" s="70" t="e">
        <f>VLOOKUP(L58,#REF!,5,0)</f>
        <v>#REF!</v>
      </c>
      <c r="Q58" s="103"/>
      <c r="S58" s="93" t="s">
        <v>236</v>
      </c>
    </row>
    <row r="59" spans="1:19" s="71" customFormat="1" x14ac:dyDescent="0.25">
      <c r="A59" s="63"/>
      <c r="B59" s="64"/>
      <c r="C59" s="65"/>
      <c r="D59" s="66"/>
      <c r="E59" s="66"/>
      <c r="F59" s="66"/>
      <c r="G59" s="66"/>
      <c r="H59" s="67"/>
      <c r="I59" s="68"/>
      <c r="J59" s="118">
        <v>23359505</v>
      </c>
      <c r="K59" s="69"/>
      <c r="L59" s="68"/>
      <c r="M59" s="36" t="e">
        <f>VLOOKUP(L59,#REF!,2,0)</f>
        <v>#REF!</v>
      </c>
      <c r="N59" s="70" t="e">
        <f>VLOOKUP(L59,#REF!,3,0)</f>
        <v>#REF!</v>
      </c>
      <c r="O59" s="70" t="e">
        <f>VLOOKUP(L59,#REF!,4,0)</f>
        <v>#REF!</v>
      </c>
      <c r="P59" s="70" t="e">
        <f>VLOOKUP(L59,#REF!,5,0)</f>
        <v>#REF!</v>
      </c>
      <c r="Q59" s="103"/>
      <c r="S59" s="93" t="s">
        <v>236</v>
      </c>
    </row>
    <row r="60" spans="1:19" s="71" customFormat="1" x14ac:dyDescent="0.25">
      <c r="A60" s="63"/>
      <c r="B60" s="64"/>
      <c r="C60" s="65"/>
      <c r="D60" s="66"/>
      <c r="E60" s="66"/>
      <c r="F60" s="66"/>
      <c r="G60" s="66"/>
      <c r="H60" s="67"/>
      <c r="I60" s="68"/>
      <c r="J60" s="118">
        <v>23359505</v>
      </c>
      <c r="K60" s="69"/>
      <c r="L60" s="68"/>
      <c r="M60" s="36" t="e">
        <f>VLOOKUP(L60,#REF!,2,0)</f>
        <v>#REF!</v>
      </c>
      <c r="N60" s="70" t="e">
        <f>VLOOKUP(L60,#REF!,3,0)</f>
        <v>#REF!</v>
      </c>
      <c r="O60" s="70" t="e">
        <f>VLOOKUP(L60,#REF!,4,0)</f>
        <v>#REF!</v>
      </c>
      <c r="P60" s="70" t="e">
        <f>VLOOKUP(L60,#REF!,5,0)</f>
        <v>#REF!</v>
      </c>
      <c r="Q60" s="103"/>
      <c r="S60" s="93" t="s">
        <v>236</v>
      </c>
    </row>
    <row r="61" spans="1:19" s="71" customFormat="1" x14ac:dyDescent="0.25">
      <c r="A61" s="63"/>
      <c r="B61" s="64"/>
      <c r="C61" s="65"/>
      <c r="D61" s="66"/>
      <c r="E61" s="66"/>
      <c r="F61" s="66"/>
      <c r="G61" s="66"/>
      <c r="H61" s="67"/>
      <c r="I61" s="68"/>
      <c r="J61" s="118">
        <v>23359505</v>
      </c>
      <c r="K61" s="69"/>
      <c r="L61" s="35"/>
      <c r="M61" s="36" t="e">
        <f>VLOOKUP(L61,#REF!,2,0)</f>
        <v>#REF!</v>
      </c>
      <c r="N61" s="70" t="e">
        <f>VLOOKUP(L61,#REF!,3,0)</f>
        <v>#REF!</v>
      </c>
      <c r="O61" s="70" t="e">
        <f>VLOOKUP(L61,#REF!,4,0)</f>
        <v>#REF!</v>
      </c>
      <c r="P61" s="70" t="e">
        <f>VLOOKUP(L61,#REF!,5,0)</f>
        <v>#REF!</v>
      </c>
      <c r="Q61" s="103"/>
      <c r="S61" s="93" t="s">
        <v>236</v>
      </c>
    </row>
    <row r="62" spans="1:19" s="71" customFormat="1" ht="14" thickBot="1" x14ac:dyDescent="0.3">
      <c r="A62" s="63"/>
      <c r="B62" s="64"/>
      <c r="C62" s="65"/>
      <c r="D62" s="66"/>
      <c r="E62" s="66"/>
      <c r="F62" s="66"/>
      <c r="G62" s="66"/>
      <c r="H62" s="67"/>
      <c r="I62" s="68"/>
      <c r="J62" s="118">
        <v>23359505</v>
      </c>
      <c r="K62" s="69"/>
      <c r="L62" s="35"/>
      <c r="M62" s="36" t="e">
        <f>VLOOKUP(L62,#REF!,2,0)</f>
        <v>#REF!</v>
      </c>
      <c r="N62" s="70" t="e">
        <f>VLOOKUP(L62,#REF!,3,0)</f>
        <v>#REF!</v>
      </c>
      <c r="O62" s="70" t="e">
        <f>VLOOKUP(L62,#REF!,4,0)</f>
        <v>#REF!</v>
      </c>
      <c r="P62" s="70" t="e">
        <f>VLOOKUP(L62,#REF!,5,0)</f>
        <v>#REF!</v>
      </c>
      <c r="Q62" s="103"/>
      <c r="S62" s="93" t="s">
        <v>236</v>
      </c>
    </row>
    <row r="63" spans="1:19" s="71" customFormat="1" ht="14" hidden="1" thickBot="1" x14ac:dyDescent="0.3">
      <c r="A63" s="63"/>
      <c r="B63" s="94"/>
      <c r="C63" s="95"/>
      <c r="D63" s="96"/>
      <c r="E63" s="96"/>
      <c r="F63" s="96"/>
      <c r="G63" s="96"/>
      <c r="H63" s="97"/>
      <c r="I63" s="98"/>
      <c r="J63" s="119"/>
      <c r="K63" s="99"/>
      <c r="L63" s="100"/>
      <c r="M63" s="101"/>
      <c r="N63" s="102"/>
      <c r="O63" s="102"/>
      <c r="P63" s="102"/>
      <c r="Q63" s="105"/>
      <c r="S63" s="93"/>
    </row>
    <row r="64" spans="1:19" ht="47.25" customHeight="1" thickBot="1" x14ac:dyDescent="0.35">
      <c r="B64" s="55">
        <f>SUM(B7:B62)</f>
        <v>67787304</v>
      </c>
      <c r="J64" s="120"/>
      <c r="M64" s="60"/>
    </row>
    <row r="65" spans="1:20" ht="14" x14ac:dyDescent="0.3">
      <c r="A65" s="1"/>
      <c r="B65" s="62"/>
      <c r="C65" s="1"/>
      <c r="D65" s="1"/>
      <c r="E65" s="1"/>
      <c r="F65" s="1"/>
      <c r="G65" s="1"/>
      <c r="H65" s="3"/>
      <c r="I65" s="59"/>
      <c r="J65" s="121"/>
      <c r="K65" s="4"/>
      <c r="L65" s="6"/>
      <c r="M65" s="5"/>
      <c r="N65" s="1"/>
      <c r="O65" s="1"/>
      <c r="P65" s="1"/>
      <c r="Q65" s="107"/>
      <c r="S65" s="20"/>
    </row>
    <row r="66" spans="1:20" ht="14" x14ac:dyDescent="0.3">
      <c r="A66" s="1"/>
      <c r="B66" s="62"/>
      <c r="C66" s="1"/>
      <c r="D66" s="1"/>
      <c r="E66" s="1"/>
      <c r="F66" s="1"/>
      <c r="G66" s="1"/>
      <c r="H66" s="3"/>
      <c r="I66" s="59"/>
      <c r="J66" s="121"/>
      <c r="K66" s="4"/>
      <c r="L66" s="6"/>
      <c r="M66" s="5"/>
      <c r="N66" s="1"/>
      <c r="O66" s="1"/>
      <c r="P66" s="1"/>
      <c r="Q66" s="107"/>
      <c r="S66" s="20"/>
    </row>
    <row r="67" spans="1:20" s="9" customFormat="1" ht="15" customHeight="1" x14ac:dyDescent="0.35">
      <c r="A67" s="201" t="s">
        <v>29</v>
      </c>
      <c r="B67" s="201"/>
      <c r="C67" s="201"/>
      <c r="D67" s="201"/>
      <c r="E67" s="201"/>
      <c r="F67" s="201"/>
      <c r="G67" s="201"/>
      <c r="H67" s="201"/>
      <c r="I67" s="201"/>
      <c r="J67" s="201"/>
      <c r="L67" s="31"/>
      <c r="M67" s="202" t="s">
        <v>30</v>
      </c>
      <c r="N67" s="202"/>
      <c r="O67" s="202"/>
      <c r="P67" s="24"/>
      <c r="Q67" s="25"/>
      <c r="R67" s="8"/>
      <c r="S67" s="20"/>
      <c r="T67" s="20"/>
    </row>
    <row r="68" spans="1:20" s="9" customFormat="1" ht="15" customHeight="1" x14ac:dyDescent="0.35">
      <c r="A68" s="32"/>
      <c r="B68" s="108" t="s">
        <v>156</v>
      </c>
      <c r="C68" s="32"/>
      <c r="D68" s="32"/>
      <c r="E68" s="32"/>
      <c r="F68" s="32"/>
      <c r="G68" s="32"/>
      <c r="H68" s="32"/>
      <c r="I68" s="32"/>
      <c r="J68" s="122"/>
      <c r="L68" s="31"/>
      <c r="M68" s="33"/>
      <c r="N68" s="33"/>
      <c r="O68" s="33"/>
      <c r="P68" s="24"/>
      <c r="Q68" s="25"/>
      <c r="R68" s="8"/>
      <c r="S68" s="20"/>
      <c r="T68" s="20"/>
    </row>
    <row r="69" spans="1:20" s="9" customFormat="1" ht="15" customHeight="1" x14ac:dyDescent="0.35">
      <c r="A69" s="32"/>
      <c r="B69" s="32"/>
      <c r="C69" s="32"/>
      <c r="D69" s="32"/>
      <c r="E69" s="32"/>
      <c r="F69" s="32"/>
      <c r="G69" s="32"/>
      <c r="H69" s="32"/>
      <c r="I69" s="32"/>
      <c r="J69" s="122"/>
      <c r="L69" s="31"/>
      <c r="M69" s="33"/>
      <c r="N69" s="33"/>
      <c r="O69" s="33"/>
      <c r="P69" s="24"/>
      <c r="Q69" s="25"/>
      <c r="R69" s="8"/>
      <c r="S69" s="20"/>
      <c r="T69" s="20"/>
    </row>
    <row r="70" spans="1:20" s="9" customFormat="1" ht="15.5" x14ac:dyDescent="0.35">
      <c r="A70" s="201" t="s">
        <v>31</v>
      </c>
      <c r="B70" s="201"/>
      <c r="C70" s="201"/>
      <c r="D70" s="201"/>
      <c r="E70" s="201"/>
      <c r="F70" s="201"/>
      <c r="G70" s="201"/>
      <c r="H70" s="201"/>
      <c r="I70" s="201"/>
      <c r="J70" s="201"/>
      <c r="M70" s="201" t="s">
        <v>31</v>
      </c>
      <c r="N70" s="201"/>
      <c r="O70" s="201"/>
      <c r="P70" s="201"/>
      <c r="Q70" s="114"/>
      <c r="R70" s="26"/>
      <c r="S70" s="30"/>
      <c r="T70" s="20"/>
    </row>
    <row r="71" spans="1:20" s="27" customFormat="1" ht="15.5" x14ac:dyDescent="0.35">
      <c r="A71" s="187" t="s">
        <v>32</v>
      </c>
      <c r="B71" s="187"/>
      <c r="C71" s="187"/>
      <c r="D71" s="187"/>
      <c r="E71" s="187"/>
      <c r="F71" s="187"/>
      <c r="G71" s="187"/>
      <c r="H71" s="187"/>
      <c r="I71" s="187"/>
      <c r="J71" s="187"/>
      <c r="N71" s="61" t="s">
        <v>32</v>
      </c>
      <c r="Q71" s="115"/>
      <c r="R71" s="29"/>
      <c r="S71" s="12"/>
      <c r="T71" s="30"/>
    </row>
    <row r="72" spans="1:20" x14ac:dyDescent="0.25">
      <c r="A72" s="1"/>
      <c r="B72" s="1"/>
      <c r="C72" s="1"/>
      <c r="D72" s="1"/>
      <c r="E72" s="1"/>
      <c r="F72" s="1"/>
      <c r="G72" s="1"/>
      <c r="H72" s="3"/>
      <c r="I72" s="59"/>
      <c r="J72" s="121"/>
      <c r="K72" s="4"/>
      <c r="L72" s="6"/>
      <c r="M72" s="5"/>
      <c r="N72" s="1"/>
      <c r="O72" s="1"/>
      <c r="P72" s="1"/>
      <c r="Q72" s="107"/>
    </row>
    <row r="73" spans="1:20" x14ac:dyDescent="0.25">
      <c r="A73" s="1"/>
      <c r="B73" s="1"/>
      <c r="C73" s="1"/>
      <c r="D73" s="1"/>
      <c r="E73" s="1"/>
      <c r="F73" s="1"/>
      <c r="G73" s="1"/>
      <c r="H73" s="3"/>
      <c r="I73" s="59"/>
      <c r="J73" s="121"/>
      <c r="K73" s="4"/>
      <c r="L73" s="6"/>
      <c r="M73" s="5"/>
      <c r="N73" s="1"/>
      <c r="O73" s="1"/>
      <c r="P73" s="1"/>
      <c r="Q73" s="107"/>
    </row>
  </sheetData>
  <autoFilter ref="A6:AMJ62" xr:uid="{26EF91E6-877A-4B34-AA1C-50C10604EB5B}">
    <filterColumn colId="9">
      <filters>
        <filter val="23359505"/>
      </filters>
    </filterColumn>
  </autoFilter>
  <mergeCells count="13">
    <mergeCell ref="A1:C3"/>
    <mergeCell ref="D1:O1"/>
    <mergeCell ref="Q1:Q3"/>
    <mergeCell ref="D2:O3"/>
    <mergeCell ref="A5:B5"/>
    <mergeCell ref="C5:I5"/>
    <mergeCell ref="J5:K5"/>
    <mergeCell ref="O5:P5"/>
    <mergeCell ref="A67:J67"/>
    <mergeCell ref="M67:O67"/>
    <mergeCell ref="A70:J70"/>
    <mergeCell ref="M70:P70"/>
    <mergeCell ref="A71:J71"/>
  </mergeCells>
  <conditionalFormatting sqref="L1:L1048576">
    <cfRule type="duplicateValues" dxfId="11" priority="1"/>
  </conditionalFormatting>
  <conditionalFormatting sqref="L20:L31">
    <cfRule type="duplicateValues" dxfId="10" priority="3"/>
    <cfRule type="duplicateValues" dxfId="9" priority="5"/>
  </conditionalFormatting>
  <conditionalFormatting sqref="L61:L1048576 L1:L19 L43:L50 L32:L41">
    <cfRule type="duplicateValues" dxfId="8" priority="8"/>
    <cfRule type="duplicateValues" dxfId="7" priority="12"/>
  </conditionalFormatting>
  <conditionalFormatting sqref="M20:M62">
    <cfRule type="duplicateValues" dxfId="6" priority="4"/>
    <cfRule type="duplicateValues" dxfId="5" priority="6"/>
    <cfRule type="duplicateValues" dxfId="4" priority="7"/>
  </conditionalFormatting>
  <conditionalFormatting sqref="M63:M1048576 M1:M19">
    <cfRule type="duplicateValues" dxfId="3" priority="9"/>
    <cfRule type="duplicateValues" dxfId="2" priority="10"/>
    <cfRule type="duplicateValues" dxfId="1" priority="11"/>
  </conditionalFormatting>
  <conditionalFormatting sqref="S1:S1048576">
    <cfRule type="duplicateValues" dxfId="0" priority="2"/>
  </conditionalFormatting>
  <printOptions horizontalCentered="1" verticalCentered="1"/>
  <pageMargins left="0.70866141732283472" right="0.70866141732283472" top="0.78740157480314965" bottom="0" header="0.31496062992125984" footer="0.31496062992125984"/>
  <pageSetup scale="52" fitToHeight="0" orientation="landscape" r:id="rId1"/>
  <rowBreaks count="4" manualBreakCount="4">
    <brk id="15" max="18" man="1"/>
    <brk id="26" max="18" man="1"/>
    <brk id="72" max="18" man="1"/>
    <brk id="73" max="18" man="1"/>
  </rowBreaks>
  <drawing r:id="rId2"/>
  <legacyDrawing r:id="rId3"/>
  <mc:AlternateContent xmlns:mc="http://schemas.openxmlformats.org/markup-compatibility/2006">
    <mc:Choice Requires="x14">
      <controls>
        <mc:AlternateContent xmlns:mc="http://schemas.openxmlformats.org/markup-compatibility/2006">
          <mc:Choice Requires="x14">
            <control shapeId="3073" r:id="rId4" name="Check Box 1">
              <controlPr defaultSize="0" autoFill="0" autoLine="0" autoPict="0">
                <anchor moveWithCells="1">
                  <from>
                    <xdr:col>11</xdr:col>
                    <xdr:colOff>1104900</xdr:colOff>
                    <xdr:row>4</xdr:row>
                    <xdr:rowOff>19050</xdr:rowOff>
                  </from>
                  <to>
                    <xdr:col>12</xdr:col>
                    <xdr:colOff>419100</xdr:colOff>
                    <xdr:row>5</xdr:row>
                    <xdr:rowOff>0</xdr:rowOff>
                  </to>
                </anchor>
              </controlPr>
            </control>
          </mc:Choice>
        </mc:AlternateContent>
        <mc:AlternateContent xmlns:mc="http://schemas.openxmlformats.org/markup-compatibility/2006">
          <mc:Choice Requires="x14">
            <control shapeId="3074" r:id="rId5" name="Check Box 2">
              <controlPr defaultSize="0" autoFill="0" autoLine="0" autoPict="0">
                <anchor moveWithCells="1">
                  <from>
                    <xdr:col>12</xdr:col>
                    <xdr:colOff>1041400</xdr:colOff>
                    <xdr:row>3</xdr:row>
                    <xdr:rowOff>57150</xdr:rowOff>
                  </from>
                  <to>
                    <xdr:col>12</xdr:col>
                    <xdr:colOff>1460500</xdr:colOff>
                    <xdr:row>5</xdr:row>
                    <xdr:rowOff>0</xdr:rowOff>
                  </to>
                </anchor>
              </controlPr>
            </control>
          </mc:Choice>
        </mc:AlternateContent>
        <mc:AlternateContent xmlns:mc="http://schemas.openxmlformats.org/markup-compatibility/2006">
          <mc:Choice Requires="x14">
            <control shapeId="3075" r:id="rId6" name="Check Box 3">
              <controlPr defaultSize="0" autoFill="0" autoLine="0" autoPict="0">
                <anchor moveWithCells="1">
                  <from>
                    <xdr:col>13</xdr:col>
                    <xdr:colOff>1174750</xdr:colOff>
                    <xdr:row>3</xdr:row>
                    <xdr:rowOff>57150</xdr:rowOff>
                  </from>
                  <to>
                    <xdr:col>14</xdr:col>
                    <xdr:colOff>203200</xdr:colOff>
                    <xdr:row>5</xdr:row>
                    <xdr:rowOff>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4</vt:i4>
      </vt:variant>
    </vt:vector>
  </HeadingPairs>
  <TitlesOfParts>
    <vt:vector size="8" baseType="lpstr">
      <vt:lpstr>FO-GFI-03 </vt:lpstr>
      <vt:lpstr>consolidado</vt:lpstr>
      <vt:lpstr>info</vt:lpstr>
      <vt:lpstr>REVISAR</vt:lpstr>
      <vt:lpstr>'FO-GFI-03 '!Área_de_impresión</vt:lpstr>
      <vt:lpstr>REVISAR!Área_de_impresión</vt:lpstr>
      <vt:lpstr>'FO-GFI-03 '!Títulos_a_imprimir</vt:lpstr>
      <vt:lpstr>REVISAR!Títulos_a_imprimir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VANESSA ALEJANDRA RUIZ VELASCO</dc:creator>
  <cp:lastModifiedBy>alejandro carvajal</cp:lastModifiedBy>
  <cp:lastPrinted>2025-02-06T19:26:29Z</cp:lastPrinted>
  <dcterms:created xsi:type="dcterms:W3CDTF">2021-01-21T23:17:19Z</dcterms:created>
  <dcterms:modified xsi:type="dcterms:W3CDTF">2026-03-04T13:31:53Z</dcterms:modified>
</cp:coreProperties>
</file>